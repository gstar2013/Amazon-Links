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dsimo\Downloads\"/>
    </mc:Choice>
  </mc:AlternateContent>
  <xr:revisionPtr revIDLastSave="0" documentId="13_ncr:1_{94B87C40-1ADC-496E-BF03-081781A76048}" xr6:coauthVersionLast="36" xr6:coauthVersionMax="47" xr10:uidLastSave="{00000000-0000-0000-0000-000000000000}"/>
  <bookViews>
    <workbookView xWindow="0" yWindow="0" windowWidth="28800" windowHeight="12225" activeTab="1" xr2:uid="{00000000-000D-0000-FFFF-FFFF00000000}"/>
  </bookViews>
  <sheets>
    <sheet name="Stack Audit" sheetId="3" r:id="rId1"/>
    <sheet name="Stage Audit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H44" i="4"/>
  <c r="E44" i="4"/>
  <c r="H43" i="4"/>
  <c r="E43" i="4"/>
  <c r="H42" i="4"/>
  <c r="E42" i="4"/>
  <c r="H41" i="4"/>
  <c r="E41" i="4"/>
  <c r="H40" i="4"/>
  <c r="E40" i="4"/>
  <c r="H15" i="4"/>
  <c r="E15" i="4"/>
  <c r="H16" i="4"/>
  <c r="E16" i="4"/>
  <c r="H14" i="4"/>
  <c r="E14" i="4"/>
  <c r="E31" i="4"/>
  <c r="H31" i="4"/>
  <c r="D66" i="4"/>
  <c r="D65" i="4"/>
  <c r="E26" i="4"/>
  <c r="H26" i="4"/>
  <c r="D67" i="4" l="1"/>
  <c r="E17" i="4"/>
  <c r="H17" i="4"/>
  <c r="H57" i="4" l="1"/>
  <c r="E57" i="4"/>
  <c r="H56" i="4"/>
  <c r="E56" i="4"/>
  <c r="H55" i="4"/>
  <c r="E55" i="4"/>
  <c r="H54" i="4"/>
  <c r="E54" i="4"/>
  <c r="H53" i="4"/>
  <c r="E53" i="4"/>
  <c r="H52" i="4"/>
  <c r="E52" i="4"/>
  <c r="H51" i="4"/>
  <c r="E51" i="4"/>
  <c r="H50" i="4"/>
  <c r="E50" i="4"/>
  <c r="H49" i="4"/>
  <c r="E49" i="4"/>
  <c r="H48" i="4"/>
  <c r="E48" i="4"/>
  <c r="H47" i="4"/>
  <c r="E47" i="4"/>
  <c r="H46" i="4"/>
  <c r="E46" i="4"/>
  <c r="H45" i="4"/>
  <c r="E45" i="4"/>
  <c r="H39" i="4"/>
  <c r="E39" i="4"/>
  <c r="H38" i="4"/>
  <c r="E38" i="4"/>
  <c r="H37" i="4"/>
  <c r="E37" i="4"/>
  <c r="H36" i="4"/>
  <c r="E36" i="4"/>
  <c r="H35" i="4"/>
  <c r="E35" i="4"/>
  <c r="H34" i="4"/>
  <c r="E34" i="4"/>
  <c r="H33" i="4"/>
  <c r="E33" i="4"/>
  <c r="H32" i="4"/>
  <c r="E32" i="4"/>
  <c r="H30" i="4"/>
  <c r="E30" i="4"/>
  <c r="H29" i="4"/>
  <c r="E29" i="4"/>
  <c r="H28" i="4"/>
  <c r="E28" i="4"/>
  <c r="H27" i="4"/>
  <c r="E27" i="4"/>
  <c r="H25" i="4"/>
  <c r="E25" i="4"/>
  <c r="H24" i="4"/>
  <c r="E24" i="4"/>
  <c r="H23" i="4"/>
  <c r="E23" i="4"/>
  <c r="H22" i="4"/>
  <c r="E22" i="4"/>
  <c r="H21" i="4"/>
  <c r="E21" i="4"/>
  <c r="H20" i="4"/>
  <c r="E20" i="4"/>
  <c r="H19" i="4"/>
  <c r="E19" i="4"/>
  <c r="H18" i="4"/>
  <c r="E18" i="4"/>
  <c r="H13" i="4"/>
  <c r="E13" i="4"/>
  <c r="H12" i="4"/>
  <c r="E12" i="4"/>
  <c r="H11" i="4"/>
  <c r="E11" i="4"/>
  <c r="H10" i="4"/>
  <c r="E10" i="4"/>
  <c r="H9" i="4"/>
  <c r="E9" i="4"/>
  <c r="H8" i="4"/>
  <c r="E8" i="4"/>
  <c r="H7" i="4"/>
  <c r="E7" i="4"/>
  <c r="H6" i="4"/>
  <c r="E6" i="4"/>
  <c r="H5" i="4"/>
  <c r="E5" i="4"/>
  <c r="H4" i="4"/>
  <c r="E4" i="4"/>
  <c r="G3" i="4"/>
  <c r="F3" i="4"/>
  <c r="E3" i="4" l="1"/>
  <c r="D70" i="4"/>
  <c r="D71" i="4" s="1"/>
  <c r="D69" i="4"/>
  <c r="H3" i="4" l="1"/>
</calcChain>
</file>

<file path=xl/sharedStrings.xml><?xml version="1.0" encoding="utf-8"?>
<sst xmlns="http://schemas.openxmlformats.org/spreadsheetml/2006/main" count="84" uniqueCount="78">
  <si>
    <t>Stack Audit</t>
  </si>
  <si>
    <t>Row Labels</t>
  </si>
  <si>
    <t>Stacking Filter</t>
  </si>
  <si>
    <t>Container id</t>
  </si>
  <si>
    <t>Type</t>
  </si>
  <si>
    <t>CPT Time</t>
  </si>
  <si>
    <t>Child Count</t>
  </si>
  <si>
    <t>Comment/Action</t>
  </si>
  <si>
    <t>Total</t>
  </si>
  <si>
    <t>South Stage</t>
  </si>
  <si>
    <t>Minus</t>
  </si>
  <si>
    <t xml:space="preserve"> West Stage</t>
  </si>
  <si>
    <t>Plus</t>
  </si>
  <si>
    <t xml:space="preserve">SP Temp </t>
  </si>
  <si>
    <t>SOUTH</t>
  </si>
  <si>
    <t>WEST</t>
  </si>
  <si>
    <t xml:space="preserve">Error </t>
  </si>
  <si>
    <t>Container IDs</t>
  </si>
  <si>
    <t xml:space="preserve">Difference </t>
  </si>
  <si>
    <t>Virtual Pallet Count</t>
  </si>
  <si>
    <t>Actual Pallet Count</t>
  </si>
  <si>
    <t>Fullness</t>
  </si>
  <si>
    <t>No. of Lanes</t>
  </si>
  <si>
    <t>Staging Name</t>
  </si>
  <si>
    <t>Stage Audit</t>
  </si>
  <si>
    <t>Temp Bag</t>
  </si>
  <si>
    <t>SP TEMP</t>
  </si>
  <si>
    <t>BAG TEMP</t>
  </si>
  <si>
    <t>WEST FLAT TEMP</t>
  </si>
  <si>
    <t>No Issues</t>
  </si>
  <si>
    <t>Bay</t>
  </si>
  <si>
    <t>West Flat</t>
  </si>
  <si>
    <t>DRH1-ND</t>
  </si>
  <si>
    <t>DSA1-ND</t>
  </si>
  <si>
    <t>DNG2-ND</t>
  </si>
  <si>
    <t>DBS3-SD</t>
  </si>
  <si>
    <t>SXW2</t>
  </si>
  <si>
    <t>DRR1-ND</t>
  </si>
  <si>
    <t>JP Carts</t>
  </si>
  <si>
    <t>DHA2-ND</t>
  </si>
  <si>
    <t>DCF1-SD</t>
  </si>
  <si>
    <t>DNN1-ND</t>
  </si>
  <si>
    <t>DBI2-ND</t>
  </si>
  <si>
    <t>DPO1-ND</t>
  </si>
  <si>
    <t>DCR2-ND</t>
  </si>
  <si>
    <t>DSO2-ND</t>
  </si>
  <si>
    <t>DSA1-SD</t>
  </si>
  <si>
    <t>DXP1-ND</t>
  </si>
  <si>
    <t>DBH3-ND</t>
  </si>
  <si>
    <t>DCF1-ND</t>
  </si>
  <si>
    <t>DRG2-ND</t>
  </si>
  <si>
    <t>DHA1-ND</t>
  </si>
  <si>
    <t>SEH1</t>
  </si>
  <si>
    <t>DXM2-ND</t>
  </si>
  <si>
    <t>DEX2-SD</t>
  </si>
  <si>
    <t>DBI7-ND</t>
  </si>
  <si>
    <t>RM-HV</t>
  </si>
  <si>
    <t>DBS3-MR</t>
  </si>
  <si>
    <t>DBS2-MR</t>
  </si>
  <si>
    <t>DBI4-ND</t>
  </si>
  <si>
    <t>STN8</t>
  </si>
  <si>
    <t>DSN1-ND</t>
  </si>
  <si>
    <t>BHX8</t>
  </si>
  <si>
    <t>DBI5-MR</t>
  </si>
  <si>
    <t>DWR1-MR</t>
  </si>
  <si>
    <t>DEX2-ND</t>
  </si>
  <si>
    <t>LCY8</t>
  </si>
  <si>
    <t>LBA8</t>
  </si>
  <si>
    <t>MAN8</t>
  </si>
  <si>
    <t>UPS</t>
  </si>
  <si>
    <t>DPD</t>
  </si>
  <si>
    <t>BFSA</t>
  </si>
  <si>
    <t>RM-H1</t>
  </si>
  <si>
    <t>BRISTOL2</t>
  </si>
  <si>
    <t>CARDIFF</t>
  </si>
  <si>
    <t>EXETER</t>
  </si>
  <si>
    <t>PLYMOUTH</t>
  </si>
  <si>
    <t>SWANSEA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</si>
</sst>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sz val="8"/>
      <name val="Calibri"/>
      <family val="2"/>
    </font>
    <font>
      <sz val="8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8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8" tint="0.39997558519241921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1"/>
        <bgColor theme="1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7">
    <xf numFmtId="0" fontId="0" fillId="0" borderId="0" xfId="0"/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Border="1" applyProtection="1"/>
    <xf numFmtId="0" fontId="0" fillId="0" borderId="0" xfId="0" applyProtection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0" fillId="4" borderId="0" xfId="0" applyFill="1"/>
    <xf numFmtId="0" fontId="3" fillId="4" borderId="0" xfId="0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9" fontId="4" fillId="4" borderId="0" xfId="1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1" xfId="0" applyBorder="1"/>
    <xf numFmtId="22" fontId="0" fillId="0" borderId="1" xfId="0" applyNumberFormat="1" applyBorder="1"/>
    <xf numFmtId="0" fontId="0" fillId="5" borderId="3" xfId="0" applyFill="1" applyBorder="1" applyAlignment="1" applyProtection="1"/>
    <xf numFmtId="0" fontId="0" fillId="0" borderId="1" xfId="0" applyBorder="1" applyAlignment="1">
      <alignment horizontal="left" wrapText="1"/>
    </xf>
    <xf numFmtId="0" fontId="0" fillId="0" borderId="0" xfId="0" applyBorder="1"/>
    <xf numFmtId="0" fontId="0" fillId="2" borderId="7" xfId="0" applyFill="1" applyBorder="1" applyAlignment="1" applyProtection="1"/>
    <xf numFmtId="0" fontId="9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0" borderId="0" xfId="0" applyFont="1"/>
    <xf numFmtId="0" fontId="0" fillId="4" borderId="1" xfId="0" applyFill="1" applyBorder="1" applyAlignment="1">
      <alignment horizontal="left" wrapText="1"/>
    </xf>
    <xf numFmtId="0" fontId="0" fillId="4" borderId="1" xfId="0" applyFill="1" applyBorder="1"/>
    <xf numFmtId="22" fontId="0" fillId="4" borderId="1" xfId="0" applyNumberFormat="1" applyFill="1" applyBorder="1"/>
    <xf numFmtId="0" fontId="10" fillId="7" borderId="1" xfId="0" applyFont="1" applyFill="1" applyBorder="1"/>
    <xf numFmtId="0" fontId="0" fillId="8" borderId="1" xfId="0" applyFont="1" applyFill="1" applyBorder="1"/>
    <xf numFmtId="0" fontId="0" fillId="4" borderId="1" xfId="0" applyFont="1" applyFill="1" applyBorder="1"/>
    <xf numFmtId="22" fontId="0" fillId="4" borderId="1" xfId="0" applyNumberFormat="1" applyFont="1" applyFill="1" applyBorder="1"/>
    <xf numFmtId="0" fontId="11" fillId="0" borderId="0" xfId="0" applyFont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12" fillId="7" borderId="1" xfId="0" applyFont="1" applyFill="1" applyBorder="1"/>
    <xf numFmtId="0" fontId="12" fillId="8" borderId="1" xfId="0" applyFont="1" applyFill="1" applyBorder="1"/>
    <xf numFmtId="0" fontId="12" fillId="4" borderId="1" xfId="0" applyFont="1" applyFill="1" applyBorder="1"/>
    <xf numFmtId="22" fontId="12" fillId="4" borderId="1" xfId="0" applyNumberFormat="1" applyFont="1" applyFill="1" applyBorder="1"/>
    <xf numFmtId="164" fontId="12" fillId="4" borderId="1" xfId="0" applyNumberFormat="1" applyFont="1" applyFill="1" applyBorder="1" applyAlignment="1">
      <alignment horizontal="left" vertical="center" wrapText="1"/>
    </xf>
    <xf numFmtId="0" fontId="12" fillId="4" borderId="1" xfId="0" applyFont="1" applyFill="1" applyBorder="1" applyAlignment="1">
      <alignment horizontal="left" wrapText="1"/>
    </xf>
    <xf numFmtId="0" fontId="12" fillId="7" borderId="1" xfId="0" applyFont="1" applyFill="1" applyBorder="1" applyAlignment="1">
      <alignment vertical="center"/>
    </xf>
    <xf numFmtId="0" fontId="12" fillId="8" borderId="1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22" fontId="12" fillId="4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5" fillId="5" borderId="1" xfId="0" applyFont="1" applyFill="1" applyBorder="1" applyAlignment="1" applyProtection="1">
      <alignment horizontal="center" vertical="center" textRotation="90"/>
    </xf>
    <xf numFmtId="0" fontId="8" fillId="9" borderId="8" xfId="0" applyFont="1" applyFill="1" applyBorder="1" applyAlignment="1">
      <alignment horizontal="center" vertical="center" wrapText="1"/>
    </xf>
    <xf numFmtId="0" fontId="8" fillId="9" borderId="10" xfId="0" applyFont="1" applyFill="1" applyBorder="1" applyAlignment="1">
      <alignment horizontal="center" vertical="center" wrapText="1"/>
    </xf>
    <xf numFmtId="9" fontId="8" fillId="9" borderId="10" xfId="1" applyNumberFormat="1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9" fontId="6" fillId="6" borderId="2" xfId="1" applyNumberFormat="1" applyFont="1" applyFill="1" applyBorder="1" applyAlignment="1">
      <alignment horizontal="center" vertical="center" wrapText="1"/>
    </xf>
    <xf numFmtId="0" fontId="6" fillId="6" borderId="2" xfId="0" applyNumberFormat="1" applyFont="1" applyFill="1" applyBorder="1" applyAlignment="1">
      <alignment horizontal="center" vertical="center" wrapText="1"/>
    </xf>
    <xf numFmtId="0" fontId="6" fillId="6" borderId="12" xfId="0" applyNumberFormat="1" applyFont="1" applyFill="1" applyBorder="1" applyAlignment="1">
      <alignment horizontal="center" vertical="center" wrapText="1"/>
    </xf>
    <xf numFmtId="0" fontId="4" fillId="4" borderId="13" xfId="0" applyFont="1" applyFill="1" applyBorder="1" applyAlignment="1">
      <alignment horizontal="center" vertical="center" wrapText="1"/>
    </xf>
    <xf numFmtId="9" fontId="3" fillId="4" borderId="13" xfId="1" applyNumberFormat="1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3" xfId="0" applyNumberFormat="1" applyFont="1" applyFill="1" applyBorder="1" applyAlignment="1">
      <alignment horizontal="center" vertical="center" wrapText="1"/>
    </xf>
    <xf numFmtId="0" fontId="3" fillId="0" borderId="14" xfId="0" applyFont="1" applyBorder="1" applyAlignment="1">
      <alignment vertical="center" wrapText="1"/>
    </xf>
    <xf numFmtId="0" fontId="3" fillId="0" borderId="15" xfId="0" applyFont="1" applyBorder="1" applyAlignment="1">
      <alignment vertical="center"/>
    </xf>
    <xf numFmtId="0" fontId="3" fillId="4" borderId="13" xfId="0" applyNumberFormat="1" applyFont="1" applyFill="1" applyBorder="1" applyAlignment="1">
      <alignment horizontal="center" vertical="center"/>
    </xf>
    <xf numFmtId="0" fontId="3" fillId="4" borderId="15" xfId="0" applyNumberFormat="1" applyFont="1" applyFill="1" applyBorder="1" applyAlignment="1">
      <alignment horizontal="center" vertical="center"/>
    </xf>
    <xf numFmtId="0" fontId="3" fillId="4" borderId="13" xfId="0" applyFont="1" applyFill="1" applyBorder="1"/>
    <xf numFmtId="0" fontId="3" fillId="4" borderId="15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vertical="center"/>
    </xf>
    <xf numFmtId="0" fontId="3" fillId="4" borderId="13" xfId="0" applyFont="1" applyFill="1" applyBorder="1" applyAlignment="1">
      <alignment vertical="center" wrapText="1"/>
    </xf>
    <xf numFmtId="0" fontId="3" fillId="0" borderId="13" xfId="0" applyFont="1" applyBorder="1" applyAlignment="1">
      <alignment horizontal="center" vertical="center"/>
    </xf>
    <xf numFmtId="0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/>
    <xf numFmtId="0" fontId="0" fillId="4" borderId="14" xfId="0" applyFont="1" applyFill="1" applyBorder="1"/>
    <xf numFmtId="0" fontId="3" fillId="4" borderId="14" xfId="0" applyFont="1" applyFill="1" applyBorder="1"/>
    <xf numFmtId="0" fontId="3" fillId="4" borderId="15" xfId="0" applyFont="1" applyFill="1" applyBorder="1" applyAlignment="1">
      <alignment vertical="center"/>
    </xf>
    <xf numFmtId="0" fontId="4" fillId="4" borderId="17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/>
    </xf>
    <xf numFmtId="9" fontId="4" fillId="4" borderId="18" xfId="1" applyNumberFormat="1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18" xfId="0" applyNumberFormat="1" applyFont="1" applyFill="1" applyBorder="1" applyAlignment="1">
      <alignment horizontal="center" vertical="center"/>
    </xf>
    <xf numFmtId="0" fontId="3" fillId="4" borderId="18" xfId="0" applyFont="1" applyFill="1" applyBorder="1"/>
    <xf numFmtId="0" fontId="3" fillId="4" borderId="9" xfId="0" applyFont="1" applyFill="1" applyBorder="1" applyAlignment="1">
      <alignment horizontal="center" vertical="center"/>
    </xf>
    <xf numFmtId="0" fontId="7" fillId="6" borderId="19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5" fillId="5" borderId="21" xfId="0" applyFont="1" applyFill="1" applyBorder="1" applyAlignment="1" applyProtection="1">
      <alignment horizontal="center" vertical="center" textRotation="90"/>
    </xf>
    <xf numFmtId="9" fontId="3" fillId="4" borderId="16" xfId="1" applyNumberFormat="1" applyFont="1" applyFill="1" applyBorder="1" applyAlignment="1">
      <alignment horizontal="center" vertical="center" wrapText="1"/>
    </xf>
    <xf numFmtId="9" fontId="4" fillId="4" borderId="16" xfId="1" applyNumberFormat="1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0"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390525</xdr:colOff>
      <xdr:row>2</xdr:row>
      <xdr:rowOff>142875</xdr:rowOff>
    </xdr:from>
    <xdr:ext cx="962025" cy="276226"/>
    <xdr:sp macro="[0]!Clearcells2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677275" y="790575"/>
          <a:ext cx="962025" cy="276226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GB" sz="1100" b="1"/>
            <a:t>Clear</a:t>
          </a:r>
          <a:r>
            <a:rPr lang="en-GB" sz="1100" b="1" baseline="0"/>
            <a:t> all</a:t>
          </a:r>
          <a:endParaRPr lang="en-GB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457200</xdr:colOff>
      <xdr:row>0</xdr:row>
      <xdr:rowOff>266701</xdr:rowOff>
    </xdr:from>
    <xdr:to>
      <xdr:col>12</xdr:col>
      <xdr:colOff>57150</xdr:colOff>
      <xdr:row>1</xdr:row>
      <xdr:rowOff>114301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E45C4B7E-BE63-426A-A527-31BB63C3F448}"/>
            </a:ext>
          </a:extLst>
        </xdr:cNvPr>
        <xdr:cNvSpPr/>
      </xdr:nvSpPr>
      <xdr:spPr>
        <a:xfrm>
          <a:off x="8858250" y="266701"/>
          <a:ext cx="819150" cy="2667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Clear </a:t>
          </a:r>
          <a:r>
            <a:rPr lang="en-GB" sz="1100" b="1" i="0" baseline="0">
              <a:solidFill>
                <a:sysClr val="windowText" lastClr="000000"/>
              </a:solidFill>
            </a:rPr>
            <a:t>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workbookViewId="0">
      <selection activeCell="E21" sqref="E21"/>
    </sheetView>
  </sheetViews>
  <sheetFormatPr defaultRowHeight="15" x14ac:dyDescent="0.25"/>
  <cols>
    <col min="1" max="1" width="13.7109375" customWidth="1"/>
    <col min="2" max="2" width="16.5703125" customWidth="1"/>
    <col min="3" max="3" width="19.28515625" customWidth="1"/>
    <col min="4" max="4" width="10.42578125" customWidth="1"/>
    <col min="5" max="5" width="10" customWidth="1"/>
    <col min="7" max="7" width="47" customWidth="1"/>
  </cols>
  <sheetData>
    <row r="1" spans="1:8" ht="36" x14ac:dyDescent="0.55000000000000004">
      <c r="A1" s="42" t="s">
        <v>0</v>
      </c>
      <c r="B1" s="42"/>
      <c r="C1" s="42"/>
      <c r="D1" s="42"/>
      <c r="E1" s="42"/>
      <c r="F1" s="42"/>
      <c r="G1" s="42"/>
    </row>
    <row r="2" spans="1:8" x14ac:dyDescent="0.25">
      <c r="A2" s="20" t="s">
        <v>1</v>
      </c>
      <c r="B2" s="20" t="s">
        <v>2</v>
      </c>
      <c r="C2" s="20" t="s">
        <v>3</v>
      </c>
      <c r="D2" s="20" t="s">
        <v>4</v>
      </c>
      <c r="E2" s="20" t="s">
        <v>5</v>
      </c>
      <c r="F2" s="20" t="s">
        <v>6</v>
      </c>
      <c r="G2" s="21" t="s">
        <v>7</v>
      </c>
    </row>
    <row r="3" spans="1:8" ht="15" customHeight="1" x14ac:dyDescent="0.25">
      <c r="A3" s="38"/>
      <c r="B3" s="39"/>
      <c r="C3" s="40"/>
      <c r="D3" s="39"/>
      <c r="E3" s="41"/>
      <c r="F3" s="40"/>
      <c r="G3" s="36" t="s">
        <v>29</v>
      </c>
      <c r="H3" s="30"/>
    </row>
    <row r="4" spans="1:8" ht="15" customHeight="1" x14ac:dyDescent="0.25">
      <c r="A4" s="32"/>
      <c r="B4" s="33"/>
      <c r="C4" s="34"/>
      <c r="D4" s="33"/>
      <c r="E4" s="35"/>
      <c r="F4" s="34"/>
      <c r="G4" s="37"/>
    </row>
    <row r="5" spans="1:8" x14ac:dyDescent="0.25">
      <c r="A5" s="26"/>
      <c r="B5" s="27"/>
      <c r="C5" s="28"/>
      <c r="D5" s="27"/>
      <c r="E5" s="29"/>
      <c r="F5" s="28"/>
      <c r="G5" s="23"/>
    </row>
    <row r="6" spans="1:8" x14ac:dyDescent="0.25">
      <c r="A6" s="26"/>
      <c r="B6" s="27"/>
      <c r="C6" s="28"/>
      <c r="D6" s="27"/>
      <c r="E6" s="29"/>
      <c r="F6" s="28"/>
      <c r="G6" s="23"/>
    </row>
    <row r="7" spans="1:8" x14ac:dyDescent="0.25">
      <c r="A7" s="24"/>
      <c r="B7" s="24"/>
      <c r="C7" s="24"/>
      <c r="D7" s="24"/>
      <c r="E7" s="25"/>
      <c r="F7" s="24"/>
      <c r="G7" s="23"/>
    </row>
    <row r="8" spans="1:8" x14ac:dyDescent="0.25">
      <c r="A8" s="14"/>
      <c r="B8" s="14"/>
      <c r="C8" s="14"/>
      <c r="D8" s="14"/>
      <c r="E8" s="15"/>
      <c r="F8" s="14"/>
      <c r="G8" s="17"/>
    </row>
    <row r="9" spans="1:8" x14ac:dyDescent="0.25">
      <c r="A9" s="14"/>
      <c r="B9" s="14"/>
      <c r="C9" s="14"/>
      <c r="D9" s="14"/>
      <c r="E9" s="15"/>
      <c r="F9" s="14"/>
      <c r="G9" s="17"/>
    </row>
    <row r="10" spans="1:8" x14ac:dyDescent="0.25">
      <c r="A10" s="1"/>
      <c r="B10" s="1"/>
      <c r="C10" s="1"/>
      <c r="D10" s="1"/>
      <c r="E10" s="2"/>
      <c r="F10" s="1"/>
      <c r="G10" s="3"/>
    </row>
  </sheetData>
  <mergeCells count="1">
    <mergeCell ref="A1:G1"/>
  </mergeCells>
  <conditionalFormatting sqref="A5">
    <cfRule type="duplicateValues" dxfId="19" priority="47"/>
  </conditionalFormatting>
  <conditionalFormatting sqref="A6">
    <cfRule type="duplicateValues" dxfId="18" priority="46"/>
  </conditionalFormatting>
  <conditionalFormatting sqref="A4">
    <cfRule type="duplicateValues" dxfId="17" priority="15"/>
  </conditionalFormatting>
  <conditionalFormatting sqref="D4">
    <cfRule type="cellIs" dxfId="16" priority="12" operator="equal">
      <formula>"PALLET"</formula>
    </cfRule>
    <cfRule type="cellIs" dxfId="15" priority="13" operator="equal">
      <formula>"GAYLORD"</formula>
    </cfRule>
    <cfRule type="cellIs" dxfId="14" priority="14" operator="equal">
      <formula>"CART"</formula>
    </cfRule>
  </conditionalFormatting>
  <conditionalFormatting sqref="F4">
    <cfRule type="expression" dxfId="13" priority="11">
      <formula>AND($G4&lt;&gt;"",$G4=0)</formula>
    </cfRule>
  </conditionalFormatting>
  <conditionalFormatting sqref="A3">
    <cfRule type="duplicateValues" dxfId="12" priority="5"/>
  </conditionalFormatting>
  <conditionalFormatting sqref="D3">
    <cfRule type="cellIs" dxfId="11" priority="2" operator="equal">
      <formula>"PALLET"</formula>
    </cfRule>
    <cfRule type="cellIs" dxfId="10" priority="3" operator="equal">
      <formula>"GAYLORD"</formula>
    </cfRule>
    <cfRule type="cellIs" dxfId="9" priority="4" operator="equal">
      <formula>"CART"</formula>
    </cfRule>
  </conditionalFormatting>
  <conditionalFormatting sqref="F3">
    <cfRule type="expression" dxfId="8" priority="1">
      <formula>AND($G3&lt;&gt;"",$G3=0)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5B52-B217-4239-9BEF-A2C2075284FD}">
  <sheetPr codeName="Sheet3"/>
  <dimension ref="A1:K71"/>
  <sheetViews>
    <sheetView tabSelected="1" workbookViewId="0">
      <selection activeCell="B8" sqref="B8"/>
    </sheetView>
  </sheetViews>
  <sheetFormatPr defaultRowHeight="15" x14ac:dyDescent="0.25"/>
  <cols>
    <col min="2" max="2" width="23.85546875" bestFit="1" customWidth="1"/>
    <col min="3" max="3" width="9.42578125" customWidth="1"/>
    <col min="8" max="8" width="9.140625" customWidth="1"/>
    <col min="9" max="9" width="14.5703125" customWidth="1"/>
    <col min="10" max="10" width="45.140625" customWidth="1"/>
    <col min="11" max="16" width="9.140625" customWidth="1"/>
  </cols>
  <sheetData>
    <row r="1" spans="1:11" ht="33" customHeight="1" thickBot="1" x14ac:dyDescent="0.6">
      <c r="A1" s="43" t="s">
        <v>24</v>
      </c>
      <c r="B1" s="44"/>
      <c r="C1" s="44"/>
      <c r="D1" s="44"/>
      <c r="E1" s="44"/>
      <c r="F1" s="44"/>
      <c r="G1" s="44"/>
      <c r="H1" s="44"/>
      <c r="I1" s="44"/>
      <c r="J1" s="45"/>
      <c r="K1" s="18"/>
    </row>
    <row r="2" spans="1:11" ht="30.75" customHeight="1" thickBot="1" x14ac:dyDescent="0.3">
      <c r="A2" s="19"/>
      <c r="B2" s="47" t="s">
        <v>23</v>
      </c>
      <c r="C2" s="48" t="s">
        <v>30</v>
      </c>
      <c r="D2" s="48" t="s">
        <v>22</v>
      </c>
      <c r="E2" s="49" t="s">
        <v>21</v>
      </c>
      <c r="F2" s="48" t="s">
        <v>20</v>
      </c>
      <c r="G2" s="48" t="s">
        <v>19</v>
      </c>
      <c r="H2" s="48" t="s">
        <v>18</v>
      </c>
      <c r="I2" s="48" t="s">
        <v>17</v>
      </c>
      <c r="J2" s="50" t="s">
        <v>16</v>
      </c>
      <c r="K2" s="18"/>
    </row>
    <row r="3" spans="1:11" ht="23.25" x14ac:dyDescent="0.25">
      <c r="A3" s="16"/>
      <c r="B3" s="81" t="s">
        <v>8</v>
      </c>
      <c r="C3" s="82"/>
      <c r="D3" s="51">
        <f>SUM(D4:D55)</f>
        <v>118</v>
      </c>
      <c r="E3" s="52">
        <f>(F3/D67)</f>
        <v>0</v>
      </c>
      <c r="F3" s="51">
        <f>SUM(F4:F57)</f>
        <v>0</v>
      </c>
      <c r="G3" s="51">
        <f>SUM(G4:G57)</f>
        <v>0</v>
      </c>
      <c r="H3" s="53">
        <f>SUM(D69,D71)</f>
        <v>0</v>
      </c>
      <c r="I3" s="53"/>
      <c r="J3" s="54"/>
    </row>
    <row r="4" spans="1:11" x14ac:dyDescent="0.25">
      <c r="A4" s="46" t="s">
        <v>15</v>
      </c>
      <c r="B4" s="87" t="s">
        <v>28</v>
      </c>
      <c r="C4" s="87"/>
      <c r="D4" s="55">
        <v>4</v>
      </c>
      <c r="E4" s="56">
        <f>MIN('Stage Audit'!$F4/('Stage Audit'!$D4*4),1)</f>
        <v>0</v>
      </c>
      <c r="F4" s="57"/>
      <c r="G4" s="57"/>
      <c r="H4" s="58">
        <f>'Stage Audit'!$F4-'Stage Audit'!$G4</f>
        <v>0</v>
      </c>
      <c r="I4" s="59"/>
      <c r="J4" s="60"/>
    </row>
    <row r="5" spans="1:11" x14ac:dyDescent="0.25">
      <c r="A5" s="84"/>
      <c r="B5" s="90" t="s">
        <v>32</v>
      </c>
      <c r="C5" s="91">
        <v>52</v>
      </c>
      <c r="D5" s="90">
        <v>2</v>
      </c>
      <c r="E5" s="85">
        <f>MIN('Stage Audit'!$F5/('Stage Audit'!$D5*20),1)</f>
        <v>0</v>
      </c>
      <c r="F5" s="57"/>
      <c r="G5" s="61"/>
      <c r="H5" s="58">
        <f>'Stage Audit'!$F5-'Stage Audit'!$G5</f>
        <v>0</v>
      </c>
      <c r="I5" s="58"/>
      <c r="J5" s="62"/>
    </row>
    <row r="6" spans="1:11" x14ac:dyDescent="0.25">
      <c r="A6" s="84"/>
      <c r="B6" s="92" t="s">
        <v>33</v>
      </c>
      <c r="C6" s="91">
        <v>51</v>
      </c>
      <c r="D6" s="90">
        <v>2</v>
      </c>
      <c r="E6" s="86">
        <f>MIN('Stage Audit'!$F6/('Stage Audit'!$D6*20),1)</f>
        <v>0</v>
      </c>
      <c r="F6" s="57"/>
      <c r="G6" s="61"/>
      <c r="H6" s="61">
        <f>'Stage Audit'!$F6-'Stage Audit'!$G6</f>
        <v>0</v>
      </c>
      <c r="I6" s="61"/>
      <c r="J6" s="62"/>
    </row>
    <row r="7" spans="1:11" x14ac:dyDescent="0.25">
      <c r="A7" s="84"/>
      <c r="B7" s="92" t="s">
        <v>34</v>
      </c>
      <c r="C7" s="91">
        <v>51</v>
      </c>
      <c r="D7" s="90">
        <v>1</v>
      </c>
      <c r="E7" s="86">
        <f>MIN('Stage Audit'!$F7/('Stage Audit'!$D7*20),1)</f>
        <v>0</v>
      </c>
      <c r="F7" s="57"/>
      <c r="G7" s="61"/>
      <c r="H7" s="57">
        <f>'Stage Audit'!$F7-'Stage Audit'!$G7</f>
        <v>0</v>
      </c>
      <c r="I7" s="63"/>
      <c r="J7" s="64"/>
    </row>
    <row r="8" spans="1:11" x14ac:dyDescent="0.25">
      <c r="A8" s="84"/>
      <c r="B8" s="92" t="s">
        <v>35</v>
      </c>
      <c r="C8" s="91">
        <v>51</v>
      </c>
      <c r="D8" s="90">
        <v>1</v>
      </c>
      <c r="E8" s="86">
        <f>MIN('Stage Audit'!$F8/('Stage Audit'!$D8*20),1)</f>
        <v>0</v>
      </c>
      <c r="F8" s="57"/>
      <c r="G8" s="61"/>
      <c r="H8" s="61">
        <f>'Stage Audit'!$F8-'Stage Audit'!$G8</f>
        <v>0</v>
      </c>
      <c r="I8" s="61"/>
      <c r="J8" s="62"/>
    </row>
    <row r="9" spans="1:11" x14ac:dyDescent="0.25">
      <c r="A9" s="84"/>
      <c r="B9" s="92" t="s">
        <v>36</v>
      </c>
      <c r="C9" s="91">
        <v>50</v>
      </c>
      <c r="D9" s="90">
        <v>3</v>
      </c>
      <c r="E9" s="86">
        <f>MIN('Stage Audit'!$F9/('Stage Audit'!$D9*20),1)</f>
        <v>0</v>
      </c>
      <c r="F9" s="57"/>
      <c r="G9" s="57"/>
      <c r="H9" s="57">
        <f>'Stage Audit'!$F9-'Stage Audit'!$G9</f>
        <v>0</v>
      </c>
      <c r="I9" s="65"/>
      <c r="J9" s="64"/>
    </row>
    <row r="10" spans="1:11" x14ac:dyDescent="0.25">
      <c r="A10" s="84"/>
      <c r="B10" s="92" t="s">
        <v>37</v>
      </c>
      <c r="C10" s="91">
        <v>49</v>
      </c>
      <c r="D10" s="90">
        <v>2</v>
      </c>
      <c r="E10" s="86">
        <f>MIN('Stage Audit'!$F10/('Stage Audit'!$D10*10),1)</f>
        <v>0</v>
      </c>
      <c r="F10" s="57"/>
      <c r="G10" s="61"/>
      <c r="H10" s="61">
        <f>'Stage Audit'!$F10-'Stage Audit'!$G10</f>
        <v>0</v>
      </c>
      <c r="I10" s="61"/>
      <c r="J10" s="62"/>
    </row>
    <row r="11" spans="1:11" x14ac:dyDescent="0.25">
      <c r="A11" s="84"/>
      <c r="B11" s="93" t="s">
        <v>38</v>
      </c>
      <c r="C11" s="91"/>
      <c r="D11" s="90">
        <v>1</v>
      </c>
      <c r="E11" s="86">
        <f>MIN('Stage Audit'!$F11/('Stage Audit'!$D11*10),1)</f>
        <v>0</v>
      </c>
      <c r="F11" s="57"/>
      <c r="G11" s="61"/>
      <c r="H11" s="61">
        <f>'Stage Audit'!$F11-'Stage Audit'!$G11</f>
        <v>0</v>
      </c>
      <c r="I11" s="61"/>
      <c r="J11" s="62"/>
    </row>
    <row r="12" spans="1:11" x14ac:dyDescent="0.25">
      <c r="A12" s="84"/>
      <c r="B12" s="92" t="s">
        <v>39</v>
      </c>
      <c r="C12" s="91">
        <v>48</v>
      </c>
      <c r="D12" s="90">
        <v>2</v>
      </c>
      <c r="E12" s="86">
        <f>MIN('Stage Audit'!$F12/('Stage Audit'!$D12*20),1)</f>
        <v>0</v>
      </c>
      <c r="F12" s="57"/>
      <c r="G12" s="61"/>
      <c r="H12" s="61">
        <f>'Stage Audit'!$F12-'Stage Audit'!$G12</f>
        <v>0</v>
      </c>
      <c r="I12" s="63"/>
      <c r="J12" s="62"/>
    </row>
    <row r="13" spans="1:11" x14ac:dyDescent="0.25">
      <c r="A13" s="84"/>
      <c r="B13" s="92" t="s">
        <v>40</v>
      </c>
      <c r="C13" s="91">
        <v>48</v>
      </c>
      <c r="D13" s="90">
        <v>1</v>
      </c>
      <c r="E13" s="86">
        <f>MIN('Stage Audit'!$F13/('Stage Audit'!$D13*20),1)</f>
        <v>0</v>
      </c>
      <c r="F13" s="57"/>
      <c r="G13" s="57"/>
      <c r="H13" s="61">
        <f>'Stage Audit'!$F13-'Stage Audit'!$G13</f>
        <v>0</v>
      </c>
      <c r="I13" s="66"/>
      <c r="J13" s="64"/>
    </row>
    <row r="14" spans="1:11" x14ac:dyDescent="0.25">
      <c r="A14" s="84"/>
      <c r="B14" s="94" t="s">
        <v>41</v>
      </c>
      <c r="C14" s="95">
        <v>47</v>
      </c>
      <c r="D14" s="94">
        <v>2</v>
      </c>
      <c r="E14" s="86">
        <f>MIN('Stage Audit'!$F14/('Stage Audit'!$D14*20),1)</f>
        <v>0</v>
      </c>
      <c r="F14" s="57"/>
      <c r="G14" s="57"/>
      <c r="H14" s="61">
        <f>'Stage Audit'!$F14-'Stage Audit'!$G14</f>
        <v>0</v>
      </c>
      <c r="I14" s="66"/>
      <c r="J14" s="64"/>
    </row>
    <row r="15" spans="1:11" x14ac:dyDescent="0.25">
      <c r="A15" s="84"/>
      <c r="B15" s="94" t="s">
        <v>42</v>
      </c>
      <c r="C15" s="95">
        <v>46</v>
      </c>
      <c r="D15" s="94">
        <v>1</v>
      </c>
      <c r="E15" s="86">
        <f>MIN('Stage Audit'!$F15/('Stage Audit'!$D15*20),1)</f>
        <v>0</v>
      </c>
      <c r="F15" s="57"/>
      <c r="G15" s="57"/>
      <c r="H15" s="61">
        <f>'Stage Audit'!$F15-'Stage Audit'!$G15</f>
        <v>0</v>
      </c>
      <c r="I15" s="66"/>
      <c r="J15" s="64"/>
    </row>
    <row r="16" spans="1:11" x14ac:dyDescent="0.25">
      <c r="A16" s="84"/>
      <c r="B16" s="94" t="s">
        <v>43</v>
      </c>
      <c r="C16" s="95">
        <v>46</v>
      </c>
      <c r="D16" s="94">
        <v>1</v>
      </c>
      <c r="E16" s="86">
        <f>MIN('Stage Audit'!$F16/('Stage Audit'!$D16*20),1)</f>
        <v>0</v>
      </c>
      <c r="F16" s="57"/>
      <c r="G16" s="57"/>
      <c r="H16" s="61">
        <f>'Stage Audit'!$F16-'Stage Audit'!$G16</f>
        <v>0</v>
      </c>
      <c r="I16" s="66"/>
      <c r="J16" s="64"/>
    </row>
    <row r="17" spans="1:10" x14ac:dyDescent="0.25">
      <c r="A17" s="84"/>
      <c r="B17" s="94" t="s">
        <v>44</v>
      </c>
      <c r="C17" s="95">
        <v>46</v>
      </c>
      <c r="D17" s="94">
        <v>1</v>
      </c>
      <c r="E17" s="86">
        <f>MIN('Stage Audit'!$F17/('Stage Audit'!$D17*10),1)</f>
        <v>0</v>
      </c>
      <c r="F17" s="67"/>
      <c r="G17" s="68"/>
      <c r="H17" s="61">
        <f>'Stage Audit'!$F17-'Stage Audit'!$G17</f>
        <v>0</v>
      </c>
      <c r="I17" s="58"/>
      <c r="J17" s="62"/>
    </row>
    <row r="18" spans="1:10" x14ac:dyDescent="0.25">
      <c r="A18" s="84"/>
      <c r="B18" s="94" t="s">
        <v>38</v>
      </c>
      <c r="C18" s="95"/>
      <c r="D18" s="94">
        <v>1</v>
      </c>
      <c r="E18" s="86">
        <f>MIN('Stage Audit'!$F18/('Stage Audit'!$D18*20),1)</f>
        <v>0</v>
      </c>
      <c r="F18" s="57"/>
      <c r="G18" s="57"/>
      <c r="H18" s="61">
        <f>'Stage Audit'!$F18-'Stage Audit'!$G18</f>
        <v>0</v>
      </c>
      <c r="I18" s="65"/>
      <c r="J18" s="64"/>
    </row>
    <row r="19" spans="1:10" x14ac:dyDescent="0.25">
      <c r="A19" s="84"/>
      <c r="B19" s="94" t="s">
        <v>45</v>
      </c>
      <c r="C19" s="95">
        <v>45</v>
      </c>
      <c r="D19" s="94">
        <v>2</v>
      </c>
      <c r="E19" s="86">
        <f>MIN('Stage Audit'!$F19/('Stage Audit'!$D19*20),1)</f>
        <v>0</v>
      </c>
      <c r="F19" s="57"/>
      <c r="G19" s="57"/>
      <c r="H19" s="57">
        <f>'Stage Audit'!$F19-'Stage Audit'!$G19</f>
        <v>0</v>
      </c>
      <c r="I19" s="69"/>
      <c r="J19" s="64"/>
    </row>
    <row r="20" spans="1:10" x14ac:dyDescent="0.25">
      <c r="A20" s="84"/>
      <c r="B20" s="94" t="s">
        <v>46</v>
      </c>
      <c r="C20" s="95">
        <v>44</v>
      </c>
      <c r="D20" s="94">
        <v>1</v>
      </c>
      <c r="E20" s="86">
        <f>MIN('Stage Audit'!$F20/('Stage Audit'!$D20*20),1)</f>
        <v>0</v>
      </c>
      <c r="F20" s="57"/>
      <c r="G20" s="61"/>
      <c r="H20" s="61">
        <f>'Stage Audit'!$F20-'Stage Audit'!$G20</f>
        <v>0</v>
      </c>
      <c r="I20" s="70"/>
      <c r="J20" s="62"/>
    </row>
    <row r="21" spans="1:10" x14ac:dyDescent="0.25">
      <c r="A21" s="84"/>
      <c r="B21" s="94" t="s">
        <v>47</v>
      </c>
      <c r="C21" s="95">
        <v>44</v>
      </c>
      <c r="D21" s="94">
        <v>2</v>
      </c>
      <c r="E21" s="86">
        <f>MIN('Stage Audit'!$F21/('Stage Audit'!$D21*20),1)</f>
        <v>0</v>
      </c>
      <c r="F21" s="57"/>
      <c r="G21" s="57"/>
      <c r="H21" s="61">
        <f>'Stage Audit'!$F21-'Stage Audit'!$G21</f>
        <v>0</v>
      </c>
      <c r="I21" s="71"/>
      <c r="J21" s="64"/>
    </row>
    <row r="22" spans="1:10" x14ac:dyDescent="0.25">
      <c r="A22" s="84"/>
      <c r="B22" s="94" t="s">
        <v>48</v>
      </c>
      <c r="C22" s="95">
        <v>43</v>
      </c>
      <c r="D22" s="94">
        <v>1</v>
      </c>
      <c r="E22" s="86">
        <f>MIN('Stage Audit'!$F22/('Stage Audit'!$D22*20),1)</f>
        <v>0</v>
      </c>
      <c r="F22" s="57"/>
      <c r="G22" s="57"/>
      <c r="H22" s="61">
        <f>'Stage Audit'!$F22-'Stage Audit'!$G22</f>
        <v>0</v>
      </c>
      <c r="I22" s="58"/>
      <c r="J22" s="64"/>
    </row>
    <row r="23" spans="1:10" x14ac:dyDescent="0.25">
      <c r="A23" s="84"/>
      <c r="B23" s="94" t="s">
        <v>38</v>
      </c>
      <c r="C23" s="95"/>
      <c r="D23" s="94">
        <v>1</v>
      </c>
      <c r="E23" s="86">
        <f>MIN('Stage Audit'!$F23/('Stage Audit'!$D23*20),1)</f>
        <v>0</v>
      </c>
      <c r="F23" s="57"/>
      <c r="G23" s="57"/>
      <c r="H23" s="57">
        <f>'Stage Audit'!$F23-'Stage Audit'!$G23</f>
        <v>0</v>
      </c>
      <c r="I23" s="65"/>
      <c r="J23" s="64"/>
    </row>
    <row r="24" spans="1:10" x14ac:dyDescent="0.25">
      <c r="A24" s="84"/>
      <c r="B24" s="94" t="s">
        <v>49</v>
      </c>
      <c r="C24" s="95">
        <v>42</v>
      </c>
      <c r="D24" s="94">
        <v>2</v>
      </c>
      <c r="E24" s="86">
        <f>MIN('Stage Audit'!$F24/('Stage Audit'!$D24*20),1)</f>
        <v>0</v>
      </c>
      <c r="F24" s="57"/>
      <c r="G24" s="57"/>
      <c r="H24" s="61">
        <f>'Stage Audit'!$F24-'Stage Audit'!$G24</f>
        <v>0</v>
      </c>
      <c r="I24" s="65"/>
      <c r="J24" s="64"/>
    </row>
    <row r="25" spans="1:10" x14ac:dyDescent="0.25">
      <c r="A25" s="84"/>
      <c r="B25" s="94" t="s">
        <v>50</v>
      </c>
      <c r="C25" s="95">
        <v>42</v>
      </c>
      <c r="D25" s="94">
        <v>1</v>
      </c>
      <c r="E25" s="86">
        <f>MIN('Stage Audit'!$F25/('Stage Audit'!$D25*20),1)</f>
        <v>0</v>
      </c>
      <c r="F25" s="57"/>
      <c r="G25" s="57"/>
      <c r="H25" s="61">
        <f>'Stage Audit'!$F25-'Stage Audit'!$G25</f>
        <v>0</v>
      </c>
      <c r="I25" s="65"/>
      <c r="J25" s="64"/>
    </row>
    <row r="26" spans="1:10" x14ac:dyDescent="0.25">
      <c r="A26" s="84"/>
      <c r="B26" s="94" t="s">
        <v>38</v>
      </c>
      <c r="C26" s="95"/>
      <c r="D26" s="94">
        <v>1</v>
      </c>
      <c r="E26" s="86">
        <f>MIN('Stage Audit'!$F26/('Stage Audit'!$D26*10),1)</f>
        <v>0</v>
      </c>
      <c r="F26" s="57"/>
      <c r="G26" s="61"/>
      <c r="H26" s="61">
        <f>'Stage Audit'!$F26-'Stage Audit'!$G26</f>
        <v>0</v>
      </c>
      <c r="I26" s="61"/>
      <c r="J26" s="62"/>
    </row>
    <row r="27" spans="1:10" x14ac:dyDescent="0.25">
      <c r="A27" s="84"/>
      <c r="B27" s="94" t="s">
        <v>51</v>
      </c>
      <c r="C27" s="95">
        <v>41</v>
      </c>
      <c r="D27" s="94">
        <v>2</v>
      </c>
      <c r="E27" s="86">
        <f>MIN('Stage Audit'!$F27/('Stage Audit'!$D27*20),1)</f>
        <v>0</v>
      </c>
      <c r="F27" s="57"/>
      <c r="G27" s="61"/>
      <c r="H27" s="61">
        <f>'Stage Audit'!$F27-'Stage Audit'!$G27</f>
        <v>0</v>
      </c>
      <c r="I27" s="61"/>
      <c r="J27" s="62"/>
    </row>
    <row r="28" spans="1:10" x14ac:dyDescent="0.25">
      <c r="A28" s="84"/>
      <c r="B28" s="94" t="s">
        <v>52</v>
      </c>
      <c r="C28" s="95">
        <v>40</v>
      </c>
      <c r="D28" s="94">
        <v>2</v>
      </c>
      <c r="E28" s="86">
        <f>MIN('Stage Audit'!$F28/('Stage Audit'!$D28*20),1)</f>
        <v>0</v>
      </c>
      <c r="F28" s="57"/>
      <c r="G28" s="61"/>
      <c r="H28" s="61">
        <f>'Stage Audit'!$F28-'Stage Audit'!$G28</f>
        <v>0</v>
      </c>
      <c r="I28" s="61"/>
      <c r="J28" s="62"/>
    </row>
    <row r="29" spans="1:10" x14ac:dyDescent="0.25">
      <c r="A29" s="84"/>
      <c r="B29" s="94" t="s">
        <v>53</v>
      </c>
      <c r="C29" s="95">
        <v>40</v>
      </c>
      <c r="D29" s="94">
        <v>2</v>
      </c>
      <c r="E29" s="86">
        <f>MIN('Stage Audit'!$F29/('Stage Audit'!$D29*20),1)</f>
        <v>0</v>
      </c>
      <c r="F29" s="57"/>
      <c r="G29" s="61"/>
      <c r="H29" s="61">
        <f>'Stage Audit'!$F29-'Stage Audit'!$G29</f>
        <v>0</v>
      </c>
      <c r="I29" s="61"/>
      <c r="J29" s="62"/>
    </row>
    <row r="30" spans="1:10" x14ac:dyDescent="0.25">
      <c r="A30" s="84"/>
      <c r="B30" s="94" t="s">
        <v>54</v>
      </c>
      <c r="C30" s="95">
        <v>39</v>
      </c>
      <c r="D30" s="94">
        <v>1</v>
      </c>
      <c r="E30" s="86">
        <f>MIN('Stage Audit'!$F30/('Stage Audit'!$D30*20),1)</f>
        <v>0</v>
      </c>
      <c r="F30" s="57"/>
      <c r="G30" s="61"/>
      <c r="H30" s="61">
        <f>'Stage Audit'!$F30-'Stage Audit'!$G30</f>
        <v>0</v>
      </c>
      <c r="I30" s="61"/>
      <c r="J30" s="62"/>
    </row>
    <row r="31" spans="1:10" x14ac:dyDescent="0.25">
      <c r="A31" s="84"/>
      <c r="B31" s="94" t="s">
        <v>55</v>
      </c>
      <c r="C31" s="95">
        <v>39</v>
      </c>
      <c r="D31" s="94">
        <v>2</v>
      </c>
      <c r="E31" s="86">
        <f>MIN('Stage Audit'!$F31/('Stage Audit'!$D31*20),1)</f>
        <v>0</v>
      </c>
      <c r="F31" s="57"/>
      <c r="G31" s="61"/>
      <c r="H31" s="61">
        <f>'Stage Audit'!$F31-'Stage Audit'!$G31</f>
        <v>0</v>
      </c>
      <c r="I31" s="61"/>
      <c r="J31" s="62"/>
    </row>
    <row r="32" spans="1:10" x14ac:dyDescent="0.25">
      <c r="A32" s="84" t="s">
        <v>14</v>
      </c>
      <c r="B32" s="94" t="s">
        <v>56</v>
      </c>
      <c r="C32" s="95">
        <v>37</v>
      </c>
      <c r="D32" s="94">
        <v>3</v>
      </c>
      <c r="E32" s="86">
        <f>MIN('Stage Audit'!$F32/('Stage Audit'!$D32*10),1)</f>
        <v>0</v>
      </c>
      <c r="F32" s="57"/>
      <c r="G32" s="57"/>
      <c r="H32" s="61">
        <f>'Stage Audit'!$F32-'Stage Audit'!$G32</f>
        <v>0</v>
      </c>
      <c r="I32" s="66"/>
      <c r="J32" s="64"/>
    </row>
    <row r="33" spans="1:10" x14ac:dyDescent="0.25">
      <c r="A33" s="84"/>
      <c r="B33" s="94" t="s">
        <v>57</v>
      </c>
      <c r="C33" s="95">
        <v>36</v>
      </c>
      <c r="D33" s="94">
        <v>4</v>
      </c>
      <c r="E33" s="86">
        <f>MIN('Stage Audit'!$F33/('Stage Audit'!$D33*10),1)</f>
        <v>0</v>
      </c>
      <c r="F33" s="57"/>
      <c r="G33" s="57"/>
      <c r="H33" s="57">
        <f>'Stage Audit'!$F33-'Stage Audit'!$G33</f>
        <v>0</v>
      </c>
      <c r="I33" s="65"/>
      <c r="J33" s="72"/>
    </row>
    <row r="34" spans="1:10" x14ac:dyDescent="0.25">
      <c r="A34" s="84"/>
      <c r="B34" s="94" t="s">
        <v>58</v>
      </c>
      <c r="C34" s="95">
        <v>36</v>
      </c>
      <c r="D34" s="94">
        <v>4</v>
      </c>
      <c r="E34" s="86">
        <f>MIN('Stage Audit'!$F34/('Stage Audit'!$D34*10),1)</f>
        <v>0</v>
      </c>
      <c r="F34" s="57"/>
      <c r="G34" s="61"/>
      <c r="H34" s="61">
        <f>'Stage Audit'!$F34-'Stage Audit'!$G34</f>
        <v>0</v>
      </c>
      <c r="I34" s="65"/>
      <c r="J34" s="62"/>
    </row>
    <row r="35" spans="1:10" x14ac:dyDescent="0.25">
      <c r="A35" s="84"/>
      <c r="B35" s="94" t="s">
        <v>59</v>
      </c>
      <c r="C35" s="95">
        <v>35</v>
      </c>
      <c r="D35" s="94">
        <v>2</v>
      </c>
      <c r="E35" s="86">
        <f>MIN('Stage Audit'!$F35/('Stage Audit'!$D35*10),1)</f>
        <v>0</v>
      </c>
      <c r="F35" s="57"/>
      <c r="G35" s="61"/>
      <c r="H35" s="61">
        <f>'Stage Audit'!$F35-'Stage Audit'!$G35</f>
        <v>0</v>
      </c>
      <c r="I35" s="61"/>
      <c r="J35" s="62"/>
    </row>
    <row r="36" spans="1:10" x14ac:dyDescent="0.25">
      <c r="A36" s="84"/>
      <c r="B36" s="94" t="s">
        <v>60</v>
      </c>
      <c r="C36" s="95">
        <v>34</v>
      </c>
      <c r="D36" s="94">
        <v>6</v>
      </c>
      <c r="E36" s="86">
        <f>MIN('Stage Audit'!$F36/('Stage Audit'!$D36*10),1)</f>
        <v>0</v>
      </c>
      <c r="F36" s="57"/>
      <c r="G36" s="61"/>
      <c r="H36" s="61">
        <f>'Stage Audit'!$F36-'Stage Audit'!$G36</f>
        <v>0</v>
      </c>
      <c r="I36" s="61"/>
      <c r="J36" s="62"/>
    </row>
    <row r="37" spans="1:10" x14ac:dyDescent="0.25">
      <c r="A37" s="84"/>
      <c r="B37" s="94" t="s">
        <v>38</v>
      </c>
      <c r="C37" s="95"/>
      <c r="D37" s="94">
        <v>1</v>
      </c>
      <c r="E37" s="86">
        <f>MIN('Stage Audit'!$F37/('Stage Audit'!$D37*10),1)</f>
        <v>0</v>
      </c>
      <c r="F37" s="57"/>
      <c r="G37" s="61"/>
      <c r="H37" s="61">
        <f>'Stage Audit'!$F37-'Stage Audit'!$G37</f>
        <v>0</v>
      </c>
      <c r="I37" s="58"/>
      <c r="J37" s="62"/>
    </row>
    <row r="38" spans="1:10" x14ac:dyDescent="0.25">
      <c r="A38" s="84"/>
      <c r="B38" s="94" t="s">
        <v>61</v>
      </c>
      <c r="C38" s="95">
        <v>32</v>
      </c>
      <c r="D38" s="94">
        <v>4</v>
      </c>
      <c r="E38" s="86">
        <f>MIN('Stage Audit'!$F38/('Stage Audit'!$D38*10),1)</f>
        <v>0</v>
      </c>
      <c r="F38" s="57"/>
      <c r="G38" s="61"/>
      <c r="H38" s="61">
        <f>'Stage Audit'!$F38-'Stage Audit'!$G38</f>
        <v>0</v>
      </c>
      <c r="I38" s="61"/>
      <c r="J38" s="62"/>
    </row>
    <row r="39" spans="1:10" x14ac:dyDescent="0.25">
      <c r="A39" s="84"/>
      <c r="B39" s="94" t="s">
        <v>62</v>
      </c>
      <c r="C39" s="95">
        <v>31</v>
      </c>
      <c r="D39" s="94">
        <v>4</v>
      </c>
      <c r="E39" s="86">
        <f>MIN('Stage Audit'!$F39/('Stage Audit'!$D39*10),1)</f>
        <v>0</v>
      </c>
      <c r="F39" s="57"/>
      <c r="G39" s="61"/>
      <c r="H39" s="61">
        <f>'Stage Audit'!$F39-'Stage Audit'!$G39</f>
        <v>0</v>
      </c>
      <c r="I39" s="61"/>
      <c r="J39" s="62"/>
    </row>
    <row r="40" spans="1:10" x14ac:dyDescent="0.25">
      <c r="A40" s="84"/>
      <c r="B40" s="94" t="s">
        <v>63</v>
      </c>
      <c r="C40" s="95">
        <v>30</v>
      </c>
      <c r="D40" s="94">
        <v>4</v>
      </c>
      <c r="E40" s="86">
        <f>MIN('Stage Audit'!$F40/('Stage Audit'!$D40*10),1)</f>
        <v>0</v>
      </c>
      <c r="F40" s="57"/>
      <c r="G40" s="61"/>
      <c r="H40" s="61">
        <f>'Stage Audit'!$F40-'Stage Audit'!$G40</f>
        <v>0</v>
      </c>
      <c r="I40" s="61"/>
      <c r="J40" s="62"/>
    </row>
    <row r="41" spans="1:10" x14ac:dyDescent="0.25">
      <c r="A41" s="84"/>
      <c r="B41" s="94" t="s">
        <v>64</v>
      </c>
      <c r="C41" s="95">
        <v>29</v>
      </c>
      <c r="D41" s="94">
        <v>4</v>
      </c>
      <c r="E41" s="86">
        <f>MIN('Stage Audit'!$F41/('Stage Audit'!$D41*10),1)</f>
        <v>0</v>
      </c>
      <c r="F41" s="57"/>
      <c r="G41" s="57"/>
      <c r="H41" s="61">
        <f>'Stage Audit'!$F41-'Stage Audit'!$G41</f>
        <v>0</v>
      </c>
      <c r="I41" s="65"/>
      <c r="J41" s="64"/>
    </row>
    <row r="42" spans="1:10" x14ac:dyDescent="0.25">
      <c r="A42" s="84"/>
      <c r="B42" s="94" t="s">
        <v>38</v>
      </c>
      <c r="C42" s="95"/>
      <c r="D42" s="94">
        <v>1</v>
      </c>
      <c r="E42" s="86">
        <f>MIN('Stage Audit'!$F42/('Stage Audit'!$D42*10),1)</f>
        <v>0</v>
      </c>
      <c r="F42" s="57"/>
      <c r="G42" s="57"/>
      <c r="H42" s="61">
        <f>'Stage Audit'!$F42-'Stage Audit'!$G42</f>
        <v>0</v>
      </c>
      <c r="I42" s="65"/>
      <c r="J42" s="64"/>
    </row>
    <row r="43" spans="1:10" x14ac:dyDescent="0.25">
      <c r="A43" s="84"/>
      <c r="B43" s="94" t="s">
        <v>65</v>
      </c>
      <c r="C43" s="95">
        <v>28</v>
      </c>
      <c r="D43" s="94">
        <v>4</v>
      </c>
      <c r="E43" s="86">
        <f>MIN('Stage Audit'!$F43/('Stage Audit'!$D43*10),1)</f>
        <v>0</v>
      </c>
      <c r="F43" s="57"/>
      <c r="G43" s="61"/>
      <c r="H43" s="61">
        <f>'Stage Audit'!$F43-'Stage Audit'!$G43</f>
        <v>0</v>
      </c>
      <c r="I43" s="61"/>
      <c r="J43" s="62"/>
    </row>
    <row r="44" spans="1:10" x14ac:dyDescent="0.25">
      <c r="A44" s="84"/>
      <c r="B44" s="94" t="s">
        <v>66</v>
      </c>
      <c r="C44" s="95">
        <v>27</v>
      </c>
      <c r="D44" s="94">
        <v>4</v>
      </c>
      <c r="E44" s="86">
        <f>MIN('Stage Audit'!$F44/('Stage Audit'!$D44*10),1)</f>
        <v>0</v>
      </c>
      <c r="F44" s="57"/>
      <c r="G44" s="61"/>
      <c r="H44" s="61">
        <f>'Stage Audit'!$F44-'Stage Audit'!$G44</f>
        <v>0</v>
      </c>
      <c r="I44" s="61"/>
      <c r="J44" s="62"/>
    </row>
    <row r="45" spans="1:10" x14ac:dyDescent="0.25">
      <c r="A45" s="84"/>
      <c r="B45" s="94" t="s">
        <v>67</v>
      </c>
      <c r="C45" s="95">
        <v>26</v>
      </c>
      <c r="D45" s="94">
        <v>4</v>
      </c>
      <c r="E45" s="86">
        <f>MIN('Stage Audit'!$F45/('Stage Audit'!$D45*10),1)</f>
        <v>0</v>
      </c>
      <c r="F45" s="57"/>
      <c r="G45" s="61"/>
      <c r="H45" s="61">
        <f>'Stage Audit'!$F45-'Stage Audit'!$G45</f>
        <v>0</v>
      </c>
      <c r="I45" s="61"/>
      <c r="J45" s="62"/>
    </row>
    <row r="46" spans="1:10" x14ac:dyDescent="0.25">
      <c r="A46" s="84"/>
      <c r="B46" s="94" t="s">
        <v>68</v>
      </c>
      <c r="C46" s="95">
        <v>25</v>
      </c>
      <c r="D46" s="94">
        <v>4</v>
      </c>
      <c r="E46" s="86">
        <f>MIN('Stage Audit'!$F46/('Stage Audit'!$D46*10),1)</f>
        <v>0</v>
      </c>
      <c r="F46" s="57"/>
      <c r="G46" s="57"/>
      <c r="H46" s="61">
        <f>'Stage Audit'!$F46-'Stage Audit'!$G46</f>
        <v>0</v>
      </c>
      <c r="I46" s="65"/>
      <c r="J46" s="64"/>
    </row>
    <row r="47" spans="1:10" x14ac:dyDescent="0.25">
      <c r="A47" s="84"/>
      <c r="B47" s="94" t="s">
        <v>69</v>
      </c>
      <c r="C47" s="95">
        <v>24</v>
      </c>
      <c r="D47" s="94">
        <v>4</v>
      </c>
      <c r="E47" s="86">
        <f>MIN('Stage Audit'!$F47/('Stage Audit'!$D47*10),1)</f>
        <v>0</v>
      </c>
      <c r="F47" s="57"/>
      <c r="G47" s="57"/>
      <c r="H47" s="61">
        <f>'Stage Audit'!$F47-'Stage Audit'!$G47</f>
        <v>0</v>
      </c>
      <c r="I47" s="65"/>
      <c r="J47" s="64"/>
    </row>
    <row r="48" spans="1:10" x14ac:dyDescent="0.25">
      <c r="A48" s="84"/>
      <c r="B48" s="94" t="s">
        <v>70</v>
      </c>
      <c r="C48" s="95">
        <v>24</v>
      </c>
      <c r="D48" s="94">
        <v>2</v>
      </c>
      <c r="E48" s="86">
        <f>MIN('Stage Audit'!$F48/('Stage Audit'!$D48*10),1)</f>
        <v>0</v>
      </c>
      <c r="F48" s="57"/>
      <c r="G48" s="61"/>
      <c r="H48" s="61">
        <f>'Stage Audit'!$F48-'Stage Audit'!$G48</f>
        <v>0</v>
      </c>
      <c r="I48" s="61"/>
      <c r="J48" s="62"/>
    </row>
    <row r="49" spans="1:10" x14ac:dyDescent="0.25">
      <c r="A49" s="84"/>
      <c r="B49" s="94" t="s">
        <v>71</v>
      </c>
      <c r="C49" s="95">
        <v>23</v>
      </c>
      <c r="D49" s="94">
        <v>1</v>
      </c>
      <c r="E49" s="86">
        <f>MIN('Stage Audit'!$F49/('Stage Audit'!$D49*10),1)</f>
        <v>0</v>
      </c>
      <c r="F49" s="57"/>
      <c r="G49" s="61"/>
      <c r="H49" s="61">
        <f>'Stage Audit'!$F49-'Stage Audit'!$G49</f>
        <v>0</v>
      </c>
      <c r="I49" s="61"/>
      <c r="J49" s="62"/>
    </row>
    <row r="50" spans="1:10" x14ac:dyDescent="0.25">
      <c r="A50" s="84"/>
      <c r="B50" s="94" t="s">
        <v>72</v>
      </c>
      <c r="C50" s="95">
        <v>23</v>
      </c>
      <c r="D50" s="94">
        <v>3</v>
      </c>
      <c r="E50" s="86">
        <f>MIN('Stage Audit'!$F50/('Stage Audit'!$D50*10),1)</f>
        <v>0</v>
      </c>
      <c r="F50" s="57"/>
      <c r="G50" s="61"/>
      <c r="H50" s="61">
        <f>'Stage Audit'!$F50-'Stage Audit'!$G50</f>
        <v>0</v>
      </c>
      <c r="I50" s="61"/>
      <c r="J50" s="62"/>
    </row>
    <row r="51" spans="1:10" x14ac:dyDescent="0.25">
      <c r="A51" s="84"/>
      <c r="B51" s="94" t="s">
        <v>73</v>
      </c>
      <c r="C51" s="95">
        <v>18</v>
      </c>
      <c r="D51" s="94">
        <v>2</v>
      </c>
      <c r="E51" s="86">
        <f>MIN('Stage Audit'!$F51/('Stage Audit'!$D51*10),1)</f>
        <v>0</v>
      </c>
      <c r="F51" s="57"/>
      <c r="G51" s="61"/>
      <c r="H51" s="61">
        <f>'Stage Audit'!$F51-'Stage Audit'!$G51</f>
        <v>0</v>
      </c>
      <c r="I51" s="61"/>
      <c r="J51" s="62"/>
    </row>
    <row r="52" spans="1:10" x14ac:dyDescent="0.25">
      <c r="A52" s="84"/>
      <c r="B52" s="94" t="s">
        <v>74</v>
      </c>
      <c r="C52" s="95">
        <v>18</v>
      </c>
      <c r="D52" s="94">
        <v>2</v>
      </c>
      <c r="E52" s="86">
        <f>MIN('Stage Audit'!$F52/('Stage Audit'!$D52*10),1)</f>
        <v>0</v>
      </c>
      <c r="F52" s="57"/>
      <c r="G52" s="61"/>
      <c r="H52" s="61">
        <f>'Stage Audit'!$F52-'Stage Audit'!$G52</f>
        <v>0</v>
      </c>
      <c r="I52" s="61"/>
      <c r="J52" s="62"/>
    </row>
    <row r="53" spans="1:10" ht="15" customHeight="1" x14ac:dyDescent="0.25">
      <c r="A53" s="84"/>
      <c r="B53" s="94" t="s">
        <v>75</v>
      </c>
      <c r="C53" s="95">
        <v>17</v>
      </c>
      <c r="D53" s="94">
        <v>2</v>
      </c>
      <c r="E53" s="86">
        <f>MIN('Stage Audit'!$F53/('Stage Audit'!$D53*10),1)</f>
        <v>0</v>
      </c>
      <c r="F53" s="57"/>
      <c r="G53" s="61"/>
      <c r="H53" s="61">
        <f>'Stage Audit'!$F53-'Stage Audit'!$G53</f>
        <v>0</v>
      </c>
      <c r="I53" s="61"/>
      <c r="J53" s="62"/>
    </row>
    <row r="54" spans="1:10" x14ac:dyDescent="0.25">
      <c r="A54" s="84"/>
      <c r="B54" s="94" t="s">
        <v>76</v>
      </c>
      <c r="C54" s="95">
        <v>16</v>
      </c>
      <c r="D54" s="94">
        <v>2</v>
      </c>
      <c r="E54" s="86">
        <f>MIN('Stage Audit'!$F54/('Stage Audit'!$D54*10),1)</f>
        <v>0</v>
      </c>
      <c r="F54" s="57"/>
      <c r="G54" s="61"/>
      <c r="H54" s="61">
        <f>'Stage Audit'!$F54-'Stage Audit'!$G54</f>
        <v>0</v>
      </c>
      <c r="I54" s="61"/>
      <c r="J54" s="62"/>
    </row>
    <row r="55" spans="1:10" x14ac:dyDescent="0.25">
      <c r="A55" s="84"/>
      <c r="B55" s="89" t="s">
        <v>77</v>
      </c>
      <c r="C55" s="88">
        <v>16</v>
      </c>
      <c r="D55" s="89">
        <v>2</v>
      </c>
      <c r="E55" s="86">
        <f>MIN('Stage Audit'!$F55/('Stage Audit'!$D55*10),1)</f>
        <v>0</v>
      </c>
      <c r="F55" s="57"/>
      <c r="G55" s="61"/>
      <c r="H55" s="61">
        <f>'Stage Audit'!$F55-'Stage Audit'!$G55</f>
        <v>0</v>
      </c>
      <c r="I55" s="61"/>
      <c r="J55" s="62"/>
    </row>
    <row r="56" spans="1:10" x14ac:dyDescent="0.25">
      <c r="A56" s="84"/>
      <c r="B56" s="31" t="s">
        <v>27</v>
      </c>
      <c r="C56" s="31"/>
      <c r="D56" s="96">
        <v>1</v>
      </c>
      <c r="E56" s="86">
        <f>MIN('Stage Audit'!$F56/('Stage Audit'!$D56*10),1)</f>
        <v>0</v>
      </c>
      <c r="F56" s="57"/>
      <c r="G56" s="57"/>
      <c r="H56" s="61">
        <f>'Stage Audit'!$F56-'Stage Audit'!$G56</f>
        <v>0</v>
      </c>
      <c r="I56" s="65"/>
      <c r="J56" s="64"/>
    </row>
    <row r="57" spans="1:10" x14ac:dyDescent="0.25">
      <c r="A57" s="46"/>
      <c r="B57" s="73" t="s">
        <v>26</v>
      </c>
      <c r="C57" s="74"/>
      <c r="D57" s="75">
        <v>1</v>
      </c>
      <c r="E57" s="76">
        <f>MIN('Stage Audit'!$F57/('Stage Audit'!$D57*10),1)</f>
        <v>0</v>
      </c>
      <c r="F57" s="77"/>
      <c r="G57" s="77"/>
      <c r="H57" s="78">
        <f>'Stage Audit'!$F57-'Stage Audit'!$G57</f>
        <v>0</v>
      </c>
      <c r="I57" s="79"/>
      <c r="J57" s="80"/>
    </row>
    <row r="58" spans="1:10" x14ac:dyDescent="0.25">
      <c r="B58" s="13"/>
      <c r="C58" s="13"/>
      <c r="D58" s="10"/>
      <c r="E58" s="12"/>
      <c r="F58" s="10"/>
      <c r="G58" s="10"/>
      <c r="H58" s="11"/>
      <c r="I58" s="11"/>
      <c r="J58" s="11"/>
    </row>
    <row r="59" spans="1:10" x14ac:dyDescent="0.25">
      <c r="I59" s="9"/>
      <c r="J59" s="22"/>
    </row>
    <row r="60" spans="1:10" x14ac:dyDescent="0.25">
      <c r="F60" s="9"/>
    </row>
    <row r="62" spans="1:10" x14ac:dyDescent="0.25">
      <c r="B62" s="83" t="s">
        <v>31</v>
      </c>
      <c r="C62" s="83"/>
      <c r="D62" s="83">
        <v>16</v>
      </c>
    </row>
    <row r="63" spans="1:10" x14ac:dyDescent="0.25">
      <c r="B63" s="8" t="s">
        <v>25</v>
      </c>
      <c r="C63" s="8"/>
      <c r="D63" s="7">
        <v>12</v>
      </c>
      <c r="E63" s="5"/>
      <c r="F63" s="5"/>
    </row>
    <row r="64" spans="1:10" x14ac:dyDescent="0.25">
      <c r="B64" s="8" t="s">
        <v>13</v>
      </c>
      <c r="C64" s="8"/>
      <c r="D64" s="7">
        <v>18</v>
      </c>
      <c r="E64" s="5"/>
      <c r="F64" s="5"/>
    </row>
    <row r="65" spans="2:6" x14ac:dyDescent="0.25">
      <c r="B65" s="7" t="s">
        <v>11</v>
      </c>
      <c r="C65" s="7"/>
      <c r="D65" s="7">
        <f>SUM(D5:D31)*20</f>
        <v>820</v>
      </c>
      <c r="E65" s="5"/>
      <c r="F65" s="5"/>
    </row>
    <row r="66" spans="2:6" x14ac:dyDescent="0.25">
      <c r="B66" s="7" t="s">
        <v>9</v>
      </c>
      <c r="C66" s="7"/>
      <c r="D66" s="7">
        <f>SUM(D32:D55)*10</f>
        <v>730</v>
      </c>
      <c r="E66" s="5"/>
      <c r="F66" s="5"/>
    </row>
    <row r="67" spans="2:6" x14ac:dyDescent="0.25">
      <c r="B67" s="7" t="s">
        <v>8</v>
      </c>
      <c r="C67" s="7"/>
      <c r="D67" s="6">
        <f>SUM(D62:D66)</f>
        <v>1596</v>
      </c>
      <c r="E67" s="5"/>
      <c r="F67" s="4"/>
    </row>
    <row r="69" spans="2:6" x14ac:dyDescent="0.25">
      <c r="B69" t="s">
        <v>12</v>
      </c>
      <c r="D69">
        <f>SUMIF(H4:H57,"&gt;0")</f>
        <v>0</v>
      </c>
    </row>
    <row r="70" spans="2:6" x14ac:dyDescent="0.25">
      <c r="B70" t="s">
        <v>10</v>
      </c>
      <c r="D70">
        <f>SUMIF(H4:H57,"&lt;0")</f>
        <v>0</v>
      </c>
    </row>
    <row r="71" spans="2:6" x14ac:dyDescent="0.25">
      <c r="D71">
        <f>ABS(D70)</f>
        <v>0</v>
      </c>
    </row>
  </sheetData>
  <mergeCells count="4">
    <mergeCell ref="A1:J1"/>
    <mergeCell ref="A4:A31"/>
    <mergeCell ref="A32:A57"/>
    <mergeCell ref="B3:C3"/>
  </mergeCells>
  <conditionalFormatting sqref="H3:H13 H17:H39 H45:H57">
    <cfRule type="colorScale" priority="14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58">
    <cfRule type="colorScale" priority="16">
      <colorScale>
        <cfvo type="percent" val="40"/>
        <cfvo type="percent" val="50"/>
        <cfvo type="percent" val="100"/>
        <color theme="9" tint="0.39997558519241921"/>
        <color rgb="FFFCBD3E"/>
        <color rgb="FFFF5A3F"/>
      </colorScale>
    </cfRule>
  </conditionalFormatting>
  <conditionalFormatting sqref="E3:E13 E17:E39 E45:E57">
    <cfRule type="colorScale" priority="15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N3">
    <cfRule type="duplicateValues" dxfId="7" priority="12"/>
  </conditionalFormatting>
  <conditionalFormatting sqref="N3">
    <cfRule type="duplicateValues" dxfId="6" priority="13"/>
  </conditionalFormatting>
  <conditionalFormatting sqref="I20">
    <cfRule type="duplicateValues" dxfId="5" priority="11"/>
  </conditionalFormatting>
  <conditionalFormatting sqref="M3:M8">
    <cfRule type="duplicateValues" dxfId="4" priority="17"/>
  </conditionalFormatting>
  <conditionalFormatting sqref="B4:C4">
    <cfRule type="cellIs" dxfId="3" priority="116" operator="equal">
      <formula>"free"</formula>
    </cfRule>
    <cfRule type="duplicateValues" dxfId="2" priority="117"/>
  </conditionalFormatting>
  <conditionalFormatting sqref="H14">
    <cfRule type="colorScale" priority="9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4">
    <cfRule type="colorScale" priority="10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16">
    <cfRule type="colorScale" priority="7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6">
    <cfRule type="colorScale" priority="8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15">
    <cfRule type="colorScale" priority="5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5">
    <cfRule type="colorScale" priority="6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40:H44">
    <cfRule type="colorScale" priority="1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40:E44">
    <cfRule type="colorScale" priority="2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B56:C57">
    <cfRule type="cellIs" dxfId="1" priority="134" operator="equal">
      <formula>"free"</formula>
    </cfRule>
    <cfRule type="duplicateValues" dxfId="0" priority="135"/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Stack Audit</vt:lpstr>
      <vt:lpstr>Stage Audit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Gardiner, Simon</dc:creator>
  <cp:lastModifiedBy>Gardiner, Simon</cp:lastModifiedBy>
  <dcterms:created xsi:type="dcterms:W3CDTF">2020-06-28T10:56:20Z</dcterms:created>
  <dcterms:modified xsi:type="dcterms:W3CDTF">2023-10-08T10:21:16Z</dcterms:modified>
</cp:coreProperties>
</file>