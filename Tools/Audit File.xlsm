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W:\My Documents\"/>
    </mc:Choice>
  </mc:AlternateContent>
  <xr:revisionPtr revIDLastSave="0" documentId="13_ncr:1_{435C7C86-966C-4B53-80FA-541312719B13}" xr6:coauthVersionLast="36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tack Audit" sheetId="3" r:id="rId1"/>
    <sheet name="Stage Audit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4" l="1"/>
  <c r="G14" i="4"/>
  <c r="C60" i="4" l="1"/>
  <c r="C59" i="4"/>
  <c r="G50" i="4"/>
  <c r="D50" i="4"/>
  <c r="G49" i="4"/>
  <c r="D49" i="4"/>
  <c r="G48" i="4"/>
  <c r="D48" i="4"/>
  <c r="G47" i="4"/>
  <c r="D47" i="4"/>
  <c r="G46" i="4"/>
  <c r="D46" i="4"/>
  <c r="G45" i="4"/>
  <c r="D45" i="4"/>
  <c r="G44" i="4"/>
  <c r="D44" i="4"/>
  <c r="G43" i="4"/>
  <c r="D43" i="4"/>
  <c r="G42" i="4"/>
  <c r="D42" i="4"/>
  <c r="G41" i="4"/>
  <c r="D41" i="4"/>
  <c r="G40" i="4"/>
  <c r="D40" i="4"/>
  <c r="G39" i="4"/>
  <c r="D39" i="4"/>
  <c r="G38" i="4"/>
  <c r="D38" i="4"/>
  <c r="G37" i="4"/>
  <c r="D37" i="4"/>
  <c r="G36" i="4"/>
  <c r="D36" i="4"/>
  <c r="G35" i="4"/>
  <c r="D35" i="4"/>
  <c r="G34" i="4"/>
  <c r="D34" i="4"/>
  <c r="G33" i="4"/>
  <c r="D33" i="4"/>
  <c r="G32" i="4"/>
  <c r="D32" i="4"/>
  <c r="G31" i="4"/>
  <c r="D31" i="4"/>
  <c r="G30" i="4"/>
  <c r="D30" i="4"/>
  <c r="G29" i="4"/>
  <c r="D29" i="4"/>
  <c r="G28" i="4"/>
  <c r="D28" i="4"/>
  <c r="G27" i="4"/>
  <c r="D27" i="4"/>
  <c r="G26" i="4"/>
  <c r="D26" i="4"/>
  <c r="G25" i="4"/>
  <c r="D25" i="4"/>
  <c r="G24" i="4"/>
  <c r="D24" i="4"/>
  <c r="G23" i="4"/>
  <c r="D23" i="4"/>
  <c r="G22" i="4"/>
  <c r="D22" i="4"/>
  <c r="G21" i="4"/>
  <c r="D21" i="4"/>
  <c r="G20" i="4"/>
  <c r="D20" i="4"/>
  <c r="G19" i="4"/>
  <c r="D19" i="4"/>
  <c r="G18" i="4"/>
  <c r="D18" i="4"/>
  <c r="G17" i="4"/>
  <c r="D17" i="4"/>
  <c r="G16" i="4"/>
  <c r="D16" i="4"/>
  <c r="G15" i="4"/>
  <c r="D15" i="4"/>
  <c r="G13" i="4"/>
  <c r="D13" i="4"/>
  <c r="G12" i="4"/>
  <c r="D12" i="4"/>
  <c r="G11" i="4"/>
  <c r="D11" i="4"/>
  <c r="G10" i="4"/>
  <c r="D10" i="4"/>
  <c r="G9" i="4"/>
  <c r="D9" i="4"/>
  <c r="G8" i="4"/>
  <c r="D8" i="4"/>
  <c r="G7" i="4"/>
  <c r="D7" i="4"/>
  <c r="G6" i="4"/>
  <c r="D6" i="4"/>
  <c r="G5" i="4"/>
  <c r="D5" i="4"/>
  <c r="G4" i="4"/>
  <c r="D4" i="4"/>
  <c r="F3" i="4"/>
  <c r="E3" i="4"/>
  <c r="C3" i="4"/>
  <c r="C61" i="4" l="1"/>
  <c r="D3" i="4" s="1"/>
  <c r="C64" i="4"/>
  <c r="C65" i="4" s="1"/>
  <c r="C63" i="4"/>
  <c r="G3" i="4" l="1"/>
</calcChain>
</file>

<file path=xl/sharedStrings.xml><?xml version="1.0" encoding="utf-8"?>
<sst xmlns="http://schemas.openxmlformats.org/spreadsheetml/2006/main" count="76" uniqueCount="76">
  <si>
    <t>Stack Audit</t>
  </si>
  <si>
    <t>Row Labels</t>
  </si>
  <si>
    <t>Stacking Filter</t>
  </si>
  <si>
    <t>Container id</t>
  </si>
  <si>
    <t>Type</t>
  </si>
  <si>
    <t>CPT Time</t>
  </si>
  <si>
    <t>Child Count</t>
  </si>
  <si>
    <t>Comment/Action</t>
  </si>
  <si>
    <t>Total</t>
  </si>
  <si>
    <t>South Stage</t>
  </si>
  <si>
    <t>Minus</t>
  </si>
  <si>
    <t xml:space="preserve"> West Stage</t>
  </si>
  <si>
    <t>Plus</t>
  </si>
  <si>
    <t xml:space="preserve">SP Temp </t>
  </si>
  <si>
    <t>Sout Box Temp</t>
  </si>
  <si>
    <t>SOUTH</t>
  </si>
  <si>
    <t>WEST</t>
  </si>
  <si>
    <t>TOTAL</t>
  </si>
  <si>
    <t xml:space="preserve">Error </t>
  </si>
  <si>
    <t>Container IDs</t>
  </si>
  <si>
    <t xml:space="preserve">Difference </t>
  </si>
  <si>
    <t>Virtual Pallet Count</t>
  </si>
  <si>
    <t>Actual Pallet Count</t>
  </si>
  <si>
    <t>Fullness</t>
  </si>
  <si>
    <t>No. of Lanes</t>
  </si>
  <si>
    <t>Staging Name</t>
  </si>
  <si>
    <t>Stage Audit</t>
  </si>
  <si>
    <t>Temp Bag</t>
  </si>
  <si>
    <t>SP TEMP</t>
  </si>
  <si>
    <t>BAG TEMP</t>
  </si>
  <si>
    <t>WEST FLAT TEMP</t>
  </si>
  <si>
    <t>No Issues</t>
  </si>
  <si>
    <t>BRS1-&gt;AMZL-DBR3-DRH1-ND</t>
  </si>
  <si>
    <t>BRS1-&gt;AMZL-DSA1-ND</t>
  </si>
  <si>
    <t>BRS1-&gt;LH-SXW2</t>
  </si>
  <si>
    <t>BRS1-&gt;AMZL-DNG2-ND</t>
  </si>
  <si>
    <t>BRS1-&gt;AMZL-DBS3-SD</t>
  </si>
  <si>
    <t>BRS1-&gt;AMZL-DRR1-ND</t>
  </si>
  <si>
    <t>BRS1-&gt;AMZL-DHA2-ND</t>
  </si>
  <si>
    <t>BRS1-&gt;AMZL-DCF1-SD</t>
  </si>
  <si>
    <t>BRS1-&gt;AMZL-DNN1-ND</t>
  </si>
  <si>
    <t>BRS1-&gt;AMZL-DBI2-ND</t>
  </si>
  <si>
    <t>BRS1-&gt;AMZL-DCR2-ND</t>
  </si>
  <si>
    <t>BRS1-&gt;AMZL-DSO2-ND</t>
  </si>
  <si>
    <t>BRS1-&gt;AMZL-DSA1-SD</t>
  </si>
  <si>
    <t>BRS1-&gt;AMZL-DXP1-ND</t>
  </si>
  <si>
    <t>BRS1-&gt;AMZL-DBH3-ND</t>
  </si>
  <si>
    <t>BRS1-&gt;AMZL-DCF1-ND</t>
  </si>
  <si>
    <t>BRS1-&gt;AMZL-DSN1-SD</t>
  </si>
  <si>
    <t>BRS1-&gt;AMZL-DHA1-ND</t>
  </si>
  <si>
    <t>BRS1-&gt;LH-SEH1</t>
  </si>
  <si>
    <t>BRS1-&gt;AMZL-DXM2-ND</t>
  </si>
  <si>
    <t>BRS1-&gt;AMZL-DEX2-SD</t>
  </si>
  <si>
    <t>BRS1-&gt;AMZL-DBI7-ND</t>
  </si>
  <si>
    <t>BRS1-&gt;CC-RM-BRISTOL2-GB-H2-HV</t>
  </si>
  <si>
    <t>BRS1-&gt;AMZL-DBS2-DBS3-ND</t>
  </si>
  <si>
    <t>BRS1-&gt;LH-STN8</t>
  </si>
  <si>
    <t>BRS1-&gt;AMZL-DPO2-ND</t>
  </si>
  <si>
    <t>BRS1-&gt;AMZL-DSN1-ND</t>
  </si>
  <si>
    <t>BRS1-&gt;LH-BHX8</t>
  </si>
  <si>
    <t>BRS1-&gt;AMZL-DWR1-DBI5-ND</t>
  </si>
  <si>
    <t>BRS1-&gt;AMZL-DEX2-ND</t>
  </si>
  <si>
    <t>BRS1-&gt;LH-LCY8</t>
  </si>
  <si>
    <t>BRS1-&gt;LH-LBA9</t>
  </si>
  <si>
    <t>BRS1-&gt;LH-MAN8</t>
  </si>
  <si>
    <t>BRS1-&gt;CC-UPS-AVONMOUT-GB-H1</t>
  </si>
  <si>
    <t>BRS1-&gt;AIR-BRS2-EMSA-BFSA</t>
  </si>
  <si>
    <t>BRS1-&gt;CC-DPD-BURBAGE-GB-H1</t>
  </si>
  <si>
    <t>BRS1-&gt;CC-RM-BRISTOL-GB-H1</t>
  </si>
  <si>
    <t>BRS1-&gt;CC-RM-BRISTOL2-GB-H2</t>
  </si>
  <si>
    <t>BRS1-&gt;CC-RM-CARDIFF-GB-H2</t>
  </si>
  <si>
    <t>BRS1-&gt;CC-RM-EXETER-GB-H2</t>
  </si>
  <si>
    <t>BRS1-&gt;CC-RM-PLYMOUTH-GB-H2</t>
  </si>
  <si>
    <t>BRS1-&gt;CC-RM-SWANSEA-GB-H2</t>
  </si>
  <si>
    <t>BRS1-&gt;CC-RM-TRURO-GB-H2</t>
  </si>
  <si>
    <t>BRS1-&gt;AMZL-DPO1-ND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</si>
</sst>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scheme val="minor"/>
    </font>
    <font>
      <sz val="8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8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8" tint="0.39997558519241921"/>
      </patternFill>
    </fill>
    <fill>
      <patternFill patternType="solid">
        <fgColor theme="0"/>
        <bgColor theme="8" tint="0.7999816888943144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 applyProtection="1"/>
    <xf numFmtId="0" fontId="0" fillId="0" borderId="0" xfId="0" applyProtection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4" borderId="0" xfId="0" applyFill="1"/>
    <xf numFmtId="0" fontId="3" fillId="4" borderId="0" xfId="0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9" fontId="4" fillId="4" borderId="0" xfId="1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" xfId="0" applyNumberFormat="1" applyFont="1" applyFill="1" applyBorder="1" applyAlignment="1" applyProtection="1">
      <alignment horizontal="center" vertical="center"/>
    </xf>
    <xf numFmtId="9" fontId="4" fillId="4" borderId="1" xfId="1" applyNumberFormat="1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9" fontId="4" fillId="4" borderId="1" xfId="1" applyFont="1" applyFill="1" applyBorder="1" applyAlignment="1" applyProtection="1">
      <alignment horizontal="center" vertical="center"/>
    </xf>
    <xf numFmtId="0" fontId="3" fillId="4" borderId="1" xfId="0" applyFont="1" applyFill="1" applyBorder="1" applyAlignment="1" applyProtection="1">
      <alignment horizontal="center" vertical="center"/>
    </xf>
    <xf numFmtId="0" fontId="3" fillId="4" borderId="1" xfId="0" applyNumberFormat="1" applyFont="1" applyFill="1" applyBorder="1" applyAlignment="1" applyProtection="1">
      <alignment horizontal="center" vertical="center" wrapText="1"/>
    </xf>
    <xf numFmtId="9" fontId="3" fillId="4" borderId="1" xfId="1" applyNumberFormat="1" applyFont="1" applyFill="1" applyBorder="1" applyAlignment="1" applyProtection="1">
      <alignment horizontal="center" vertical="center" wrapText="1"/>
    </xf>
    <xf numFmtId="0" fontId="6" fillId="6" borderId="2" xfId="0" applyNumberFormat="1" applyFont="1" applyFill="1" applyBorder="1" applyAlignment="1" applyProtection="1">
      <alignment horizontal="center" vertical="center" wrapText="1"/>
    </xf>
    <xf numFmtId="0" fontId="6" fillId="6" borderId="3" xfId="0" applyNumberFormat="1" applyFont="1" applyFill="1" applyBorder="1" applyAlignment="1" applyProtection="1">
      <alignment horizontal="center" vertical="center" wrapText="1"/>
    </xf>
    <xf numFmtId="0" fontId="6" fillId="6" borderId="3" xfId="0" applyFont="1" applyFill="1" applyBorder="1" applyAlignment="1" applyProtection="1">
      <alignment horizontal="center" vertical="center" wrapText="1"/>
    </xf>
    <xf numFmtId="9" fontId="6" fillId="6" borderId="3" xfId="1" applyNumberFormat="1" applyFont="1" applyFill="1" applyBorder="1" applyAlignment="1" applyProtection="1">
      <alignment horizontal="center" vertical="center" wrapText="1"/>
    </xf>
    <xf numFmtId="0" fontId="7" fillId="6" borderId="4" xfId="0" applyFont="1" applyFill="1" applyBorder="1" applyAlignment="1" applyProtection="1">
      <alignment horizontal="center" vertical="center" wrapText="1"/>
    </xf>
    <xf numFmtId="0" fontId="0" fillId="0" borderId="1" xfId="0" applyBorder="1"/>
    <xf numFmtId="22" fontId="0" fillId="0" borderId="1" xfId="0" applyNumberFormat="1" applyBorder="1"/>
    <xf numFmtId="0" fontId="0" fillId="5" borderId="6" xfId="0" applyFill="1" applyBorder="1" applyAlignment="1" applyProtection="1"/>
    <xf numFmtId="0" fontId="3" fillId="0" borderId="7" xfId="0" applyFont="1" applyBorder="1" applyAlignment="1" applyProtection="1">
      <alignment horizontal="center" vertical="center" wrapText="1"/>
    </xf>
    <xf numFmtId="0" fontId="3" fillId="0" borderId="8" xfId="0" applyFont="1" applyBorder="1" applyAlignment="1" applyProtection="1">
      <alignment horizontal="center" vertical="center" wrapText="1"/>
    </xf>
    <xf numFmtId="9" fontId="3" fillId="0" borderId="8" xfId="1" applyFont="1" applyBorder="1" applyAlignment="1" applyProtection="1">
      <alignment horizontal="center" vertical="center" wrapText="1"/>
    </xf>
    <xf numFmtId="0" fontId="0" fillId="0" borderId="1" xfId="0" applyBorder="1" applyAlignment="1">
      <alignment horizontal="left" wrapText="1"/>
    </xf>
    <xf numFmtId="0" fontId="0" fillId="0" borderId="0" xfId="0" applyBorder="1"/>
    <xf numFmtId="0" fontId="3" fillId="0" borderId="9" xfId="0" applyFont="1" applyBorder="1" applyAlignment="1" applyProtection="1">
      <alignment horizontal="center" vertical="center" wrapText="1"/>
    </xf>
    <xf numFmtId="0" fontId="0" fillId="2" borderId="13" xfId="0" applyFill="1" applyBorder="1" applyAlignment="1" applyProtection="1"/>
    <xf numFmtId="0" fontId="3" fillId="2" borderId="5" xfId="0" applyFont="1" applyFill="1" applyBorder="1" applyAlignment="1" applyProtection="1">
      <alignment horizontal="center" vertical="center" wrapText="1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9" fontId="4" fillId="4" borderId="1" xfId="1" applyNumberFormat="1" applyFont="1" applyFill="1" applyBorder="1" applyAlignment="1" applyProtection="1">
      <alignment horizontal="center" vertical="center"/>
      <protection locked="0"/>
    </xf>
    <xf numFmtId="0" fontId="10" fillId="4" borderId="1" xfId="0" applyFont="1" applyFill="1" applyBorder="1" applyAlignment="1" applyProtection="1">
      <alignment horizontal="center" vertical="center"/>
      <protection locked="0"/>
    </xf>
    <xf numFmtId="9" fontId="10" fillId="4" borderId="1" xfId="1" applyNumberFormat="1" applyFont="1" applyFill="1" applyBorder="1" applyAlignment="1" applyProtection="1">
      <alignment horizontal="center" vertical="center"/>
      <protection locked="0"/>
    </xf>
    <xf numFmtId="0" fontId="11" fillId="4" borderId="1" xfId="0" applyNumberFormat="1" applyFont="1" applyFill="1" applyBorder="1" applyAlignment="1" applyProtection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12" fillId="4" borderId="1" xfId="0" applyFont="1" applyFill="1" applyBorder="1" applyAlignment="1" applyProtection="1">
      <alignment horizontal="center" vertical="center"/>
      <protection locked="0"/>
    </xf>
    <xf numFmtId="9" fontId="12" fillId="4" borderId="1" xfId="1" applyNumberFormat="1" applyFont="1" applyFill="1" applyBorder="1" applyAlignment="1" applyProtection="1">
      <alignment horizontal="center" vertical="center"/>
      <protection locked="0"/>
    </xf>
    <xf numFmtId="0" fontId="13" fillId="4" borderId="1" xfId="0" applyNumberFormat="1" applyFont="1" applyFill="1" applyBorder="1" applyAlignment="1" applyProtection="1">
      <alignment horizontal="center" vertical="center"/>
    </xf>
    <xf numFmtId="0" fontId="13" fillId="4" borderId="1" xfId="0" applyNumberFormat="1" applyFont="1" applyFill="1" applyBorder="1" applyAlignment="1">
      <alignment horizontal="center" vertical="center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9" fontId="14" fillId="4" borderId="1" xfId="1" applyNumberFormat="1" applyFont="1" applyFill="1" applyBorder="1" applyAlignment="1" applyProtection="1">
      <alignment horizontal="center" vertical="center"/>
      <protection locked="0"/>
    </xf>
    <xf numFmtId="0" fontId="15" fillId="4" borderId="1" xfId="0" applyNumberFormat="1" applyFont="1" applyFill="1" applyBorder="1" applyAlignment="1" applyProtection="1">
      <alignment horizontal="center" vertical="center"/>
    </xf>
    <xf numFmtId="0" fontId="15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0" fontId="15" fillId="4" borderId="1" xfId="0" applyFont="1" applyFill="1" applyBorder="1" applyAlignment="1">
      <alignment horizontal="center" vertical="center"/>
    </xf>
    <xf numFmtId="0" fontId="3" fillId="4" borderId="0" xfId="0" applyFont="1" applyFill="1"/>
    <xf numFmtId="0" fontId="13" fillId="4" borderId="1" xfId="0" applyFont="1" applyFill="1" applyBorder="1" applyAlignment="1">
      <alignment horizontal="center" vertical="center"/>
    </xf>
    <xf numFmtId="0" fontId="3" fillId="4" borderId="1" xfId="0" applyNumberFormat="1" applyFont="1" applyFill="1" applyBorder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6" fillId="4" borderId="1" xfId="0" applyFont="1" applyFill="1" applyBorder="1" applyAlignment="1" applyProtection="1">
      <alignment horizontal="center" vertical="center"/>
      <protection locked="0"/>
    </xf>
    <xf numFmtId="9" fontId="16" fillId="4" borderId="1" xfId="1" applyNumberFormat="1" applyFont="1" applyFill="1" applyBorder="1" applyAlignment="1" applyProtection="1">
      <alignment horizontal="center" vertical="center"/>
      <protection locked="0"/>
    </xf>
    <xf numFmtId="0" fontId="17" fillId="4" borderId="1" xfId="0" applyNumberFormat="1" applyFont="1" applyFill="1" applyBorder="1" applyAlignment="1" applyProtection="1">
      <alignment horizontal="center" vertical="center"/>
    </xf>
    <xf numFmtId="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 wrapText="1"/>
    </xf>
    <xf numFmtId="0" fontId="3" fillId="0" borderId="0" xfId="0" applyFont="1" applyAlignment="1">
      <alignment vertical="center" wrapText="1"/>
    </xf>
    <xf numFmtId="0" fontId="19" fillId="4" borderId="1" xfId="0" applyFont="1" applyFill="1" applyBorder="1" applyAlignment="1" applyProtection="1">
      <alignment horizontal="center" vertical="center"/>
      <protection locked="0"/>
    </xf>
    <xf numFmtId="9" fontId="19" fillId="4" borderId="1" xfId="1" applyNumberFormat="1" applyFont="1" applyFill="1" applyBorder="1" applyAlignment="1" applyProtection="1">
      <alignment horizontal="center" vertical="center"/>
      <protection locked="0"/>
    </xf>
    <xf numFmtId="0" fontId="20" fillId="4" borderId="1" xfId="0" applyNumberFormat="1" applyFont="1" applyFill="1" applyBorder="1" applyAlignment="1" applyProtection="1">
      <alignment horizontal="center" vertical="center"/>
    </xf>
    <xf numFmtId="0" fontId="20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left" wrapText="1"/>
    </xf>
    <xf numFmtId="0" fontId="0" fillId="4" borderId="1" xfId="0" applyFill="1" applyBorder="1"/>
    <xf numFmtId="22" fontId="0" fillId="4" borderId="1" xfId="0" applyNumberFormat="1" applyFill="1" applyBorder="1"/>
    <xf numFmtId="0" fontId="18" fillId="7" borderId="1" xfId="0" applyFont="1" applyFill="1" applyBorder="1"/>
    <xf numFmtId="0" fontId="0" fillId="8" borderId="1" xfId="0" applyFont="1" applyFill="1" applyBorder="1"/>
    <xf numFmtId="0" fontId="0" fillId="4" borderId="1" xfId="0" applyFont="1" applyFill="1" applyBorder="1"/>
    <xf numFmtId="22" fontId="0" fillId="4" borderId="1" xfId="0" applyNumberFormat="1" applyFont="1" applyFill="1" applyBorder="1"/>
    <xf numFmtId="0" fontId="3" fillId="4" borderId="0" xfId="0" applyFont="1" applyFill="1" applyAlignment="1">
      <alignment wrapText="1"/>
    </xf>
    <xf numFmtId="0" fontId="21" fillId="0" borderId="0" xfId="0" applyFont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9" fontId="3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7" borderId="1" xfId="0" applyFont="1" applyFill="1" applyBorder="1"/>
    <xf numFmtId="0" fontId="22" fillId="8" borderId="1" xfId="0" applyFont="1" applyFill="1" applyBorder="1"/>
    <xf numFmtId="0" fontId="22" fillId="4" borderId="1" xfId="0" applyFont="1" applyFill="1" applyBorder="1"/>
    <xf numFmtId="22" fontId="22" fillId="4" borderId="1" xfId="0" applyNumberFormat="1" applyFont="1" applyFill="1" applyBorder="1"/>
    <xf numFmtId="164" fontId="22" fillId="4" borderId="1" xfId="0" applyNumberFormat="1" applyFont="1" applyFill="1" applyBorder="1" applyAlignment="1">
      <alignment horizontal="left" vertical="center" wrapText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9" fontId="23" fillId="4" borderId="1" xfId="1" applyNumberFormat="1" applyFont="1" applyFill="1" applyBorder="1" applyAlignment="1" applyProtection="1">
      <alignment horizontal="center" vertical="center"/>
      <protection locked="0"/>
    </xf>
    <xf numFmtId="0" fontId="24" fillId="4" borderId="1" xfId="0" applyNumberFormat="1" applyFont="1" applyFill="1" applyBorder="1" applyAlignment="1" applyProtection="1">
      <alignment horizontal="center" vertical="center"/>
    </xf>
    <xf numFmtId="0" fontId="24" fillId="4" borderId="1" xfId="0" applyNumberFormat="1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left" wrapText="1"/>
    </xf>
    <xf numFmtId="0" fontId="22" fillId="7" borderId="1" xfId="0" applyFont="1" applyFill="1" applyBorder="1" applyAlignment="1">
      <alignment vertical="center"/>
    </xf>
    <xf numFmtId="0" fontId="22" fillId="8" borderId="1" xfId="0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22" fontId="22" fillId="4" borderId="1" xfId="0" applyNumberFormat="1" applyFont="1" applyFill="1" applyBorder="1" applyAlignment="1">
      <alignment vertical="center"/>
    </xf>
    <xf numFmtId="0" fontId="25" fillId="4" borderId="0" xfId="0" applyFont="1" applyFill="1"/>
    <xf numFmtId="0" fontId="2" fillId="2" borderId="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5" fillId="5" borderId="1" xfId="0" applyFont="1" applyFill="1" applyBorder="1" applyAlignment="1" applyProtection="1">
      <alignment horizontal="center" vertical="center" textRotation="90"/>
    </xf>
    <xf numFmtId="0" fontId="26" fillId="4" borderId="1" xfId="0" applyFont="1" applyFill="1" applyBorder="1" applyAlignment="1" applyProtection="1">
      <alignment horizontal="center" vertical="center"/>
      <protection locked="0"/>
    </xf>
    <xf numFmtId="9" fontId="26" fillId="4" borderId="1" xfId="1" applyNumberFormat="1" applyFont="1" applyFill="1" applyBorder="1" applyAlignment="1" applyProtection="1">
      <alignment horizontal="center" vertical="center"/>
      <protection locked="0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NumberFormat="1" applyFont="1" applyFill="1" applyBorder="1" applyAlignment="1">
      <alignment horizontal="center" vertical="center"/>
    </xf>
    <xf numFmtId="0" fontId="27" fillId="4" borderId="1" xfId="0" applyNumberFormat="1" applyFont="1" applyFill="1" applyBorder="1" applyAlignment="1" applyProtection="1">
      <alignment horizontal="center" vertical="center"/>
    </xf>
    <xf numFmtId="0" fontId="27" fillId="4" borderId="1" xfId="0" applyNumberFormat="1" applyFont="1" applyFill="1" applyBorder="1" applyAlignment="1">
      <alignment horizontal="center" vertical="center" wrapText="1"/>
    </xf>
    <xf numFmtId="0" fontId="27" fillId="4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3"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8"/>
        <color theme="1"/>
        <name val="Calibri"/>
        <scheme val="minor"/>
      </font>
      <numFmt numFmtId="13" formatCode="0%"/>
      <fill>
        <patternFill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vertAlign val="baseline"/>
        <sz val="8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8"/>
        <color rgb="FF000000"/>
        <name val="Calibri"/>
        <scheme val="none"/>
      </font>
      <alignment horizontal="center" vertical="center" textRotation="0" indent="0" justifyLastLine="0" shrinkToFit="0" readingOrder="0"/>
    </dxf>
    <dxf>
      <border>
        <bottom style="medium">
          <color rgb="FF000000"/>
        </bottom>
      </border>
    </dxf>
    <dxf>
      <font>
        <strike val="0"/>
        <outline val="0"/>
        <shadow val="0"/>
        <vertAlign val="baseline"/>
        <sz val="8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390525</xdr:colOff>
      <xdr:row>2</xdr:row>
      <xdr:rowOff>142875</xdr:rowOff>
    </xdr:from>
    <xdr:ext cx="962025" cy="276226"/>
    <xdr:sp macro="[0]!Clearcells2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77275" y="790575"/>
          <a:ext cx="962025" cy="276226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100" b="1"/>
            <a:t>Clear</a:t>
          </a:r>
          <a:r>
            <a:rPr lang="en-GB" sz="1100" b="1" baseline="0"/>
            <a:t> all</a:t>
          </a:r>
          <a:endParaRPr lang="en-GB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0</xdr:row>
      <xdr:rowOff>266701</xdr:rowOff>
    </xdr:from>
    <xdr:to>
      <xdr:col>11</xdr:col>
      <xdr:colOff>57150</xdr:colOff>
      <xdr:row>1</xdr:row>
      <xdr:rowOff>114301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E45C4B7E-BE63-426A-A527-31BB63C3F448}"/>
            </a:ext>
          </a:extLst>
        </xdr:cNvPr>
        <xdr:cNvSpPr/>
      </xdr:nvSpPr>
      <xdr:spPr>
        <a:xfrm>
          <a:off x="8858250" y="266701"/>
          <a:ext cx="819150" cy="2667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Clear </a:t>
          </a:r>
          <a:r>
            <a:rPr lang="en-GB" sz="1100" b="1" i="0" baseline="0">
              <a:solidFill>
                <a:sysClr val="windowText" lastClr="000000"/>
              </a:solidFill>
            </a:rPr>
            <a:t>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82A079-81D1-48F9-91BB-22FAC9318426}" name="Table42731062" displayName="Table42731062" ref="B2:I50" totalsRowShown="0" headerRowDxfId="32" dataDxfId="30" headerRowBorderDxfId="31" tableBorderDxfId="29" totalsRowBorderDxfId="28">
  <sortState ref="B3:J52">
    <sortCondition ref="I2:I52"/>
  </sortState>
  <tableColumns count="8">
    <tableColumn id="1" xr3:uid="{733CD53F-4FAE-4F0A-8692-D40AA7C79E59}" name="Staging Name" dataDxfId="27"/>
    <tableColumn id="5" xr3:uid="{E533BFE0-8CB2-41DF-BDD2-1AC4332F0A47}" name="No. of Lanes" dataDxfId="26"/>
    <tableColumn id="6" xr3:uid="{AF5DBF4B-DA7E-409A-BCCF-6B0DFB0C4DDB}" name="Fullness" dataDxfId="25" dataCellStyle="Percent">
      <calculatedColumnFormula>MIN(Table42731062[[#This Row],[Actual Pallet Count]]/(Table42731062[[#This Row],[No. of Lanes]]*10),1)</calculatedColumnFormula>
    </tableColumn>
    <tableColumn id="2" xr3:uid="{3B8DF612-FC67-4E69-8B8A-A956C4083D6B}" name="Actual Pallet Count" dataDxfId="24"/>
    <tableColumn id="3" xr3:uid="{347FF240-2261-44C1-BE1E-90ABF691D837}" name="Virtual Pallet Count" dataDxfId="23"/>
    <tableColumn id="4" xr3:uid="{E8D3ECAA-F59C-4C4D-B67C-8A0A2707767A}" name="Difference " dataDxfId="22">
      <calculatedColumnFormula>Table42731062[[#This Row],[Actual Pallet Count]]-Table42731062[[#This Row],[Virtual Pallet Count]]</calculatedColumnFormula>
    </tableColumn>
    <tableColumn id="13" xr3:uid="{33ABA491-08F6-4D3F-98E0-FA640B867194}" name="Container IDs" dataDxfId="21"/>
    <tableColumn id="10" xr3:uid="{80436223-DBF5-49C4-97B5-E0B17158AF4C}" name="Error " dataDxfId="2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workbookViewId="0">
      <selection sqref="A1:G3"/>
    </sheetView>
  </sheetViews>
  <sheetFormatPr defaultRowHeight="15" x14ac:dyDescent="0.25"/>
  <cols>
    <col min="1" max="1" width="13.7109375" customWidth="1"/>
    <col min="2" max="2" width="16.5703125" customWidth="1"/>
    <col min="3" max="3" width="19.28515625" customWidth="1"/>
    <col min="4" max="4" width="10.42578125" customWidth="1"/>
    <col min="5" max="5" width="10" customWidth="1"/>
    <col min="7" max="7" width="47" customWidth="1"/>
  </cols>
  <sheetData>
    <row r="1" spans="1:8" ht="36" x14ac:dyDescent="0.55000000000000004">
      <c r="A1" s="104" t="s">
        <v>0</v>
      </c>
      <c r="B1" s="104"/>
      <c r="C1" s="104"/>
      <c r="D1" s="104"/>
      <c r="E1" s="104"/>
      <c r="F1" s="104"/>
      <c r="G1" s="104"/>
    </row>
    <row r="2" spans="1:8" x14ac:dyDescent="0.25">
      <c r="A2" s="39" t="s">
        <v>1</v>
      </c>
      <c r="B2" s="39" t="s">
        <v>2</v>
      </c>
      <c r="C2" s="39" t="s">
        <v>3</v>
      </c>
      <c r="D2" s="39" t="s">
        <v>4</v>
      </c>
      <c r="E2" s="39" t="s">
        <v>5</v>
      </c>
      <c r="F2" s="39" t="s">
        <v>6</v>
      </c>
      <c r="G2" s="40" t="s">
        <v>7</v>
      </c>
    </row>
    <row r="3" spans="1:8" ht="15" customHeight="1" x14ac:dyDescent="0.25">
      <c r="A3" s="99"/>
      <c r="B3" s="100"/>
      <c r="C3" s="101"/>
      <c r="D3" s="100"/>
      <c r="E3" s="102"/>
      <c r="F3" s="101"/>
      <c r="G3" s="92" t="s">
        <v>31</v>
      </c>
      <c r="H3" s="84"/>
    </row>
    <row r="4" spans="1:8" ht="15" customHeight="1" x14ac:dyDescent="0.25">
      <c r="A4" s="88"/>
      <c r="B4" s="89"/>
      <c r="C4" s="90"/>
      <c r="D4" s="89"/>
      <c r="E4" s="91"/>
      <c r="F4" s="90"/>
      <c r="G4" s="98"/>
    </row>
    <row r="5" spans="1:8" x14ac:dyDescent="0.25">
      <c r="A5" s="79"/>
      <c r="B5" s="80"/>
      <c r="C5" s="81"/>
      <c r="D5" s="80"/>
      <c r="E5" s="82"/>
      <c r="F5" s="81"/>
      <c r="G5" s="76"/>
    </row>
    <row r="6" spans="1:8" x14ac:dyDescent="0.25">
      <c r="A6" s="79"/>
      <c r="B6" s="80"/>
      <c r="C6" s="81"/>
      <c r="D6" s="80"/>
      <c r="E6" s="82"/>
      <c r="F6" s="81"/>
      <c r="G6" s="76"/>
    </row>
    <row r="7" spans="1:8" x14ac:dyDescent="0.25">
      <c r="A7" s="77"/>
      <c r="B7" s="77"/>
      <c r="C7" s="77"/>
      <c r="D7" s="77"/>
      <c r="E7" s="78"/>
      <c r="F7" s="77"/>
      <c r="G7" s="76"/>
    </row>
    <row r="8" spans="1:8" x14ac:dyDescent="0.25">
      <c r="A8" s="27"/>
      <c r="B8" s="27"/>
      <c r="C8" s="27"/>
      <c r="D8" s="27"/>
      <c r="E8" s="28"/>
      <c r="F8" s="27"/>
      <c r="G8" s="33"/>
    </row>
    <row r="9" spans="1:8" x14ac:dyDescent="0.25">
      <c r="A9" s="27"/>
      <c r="B9" s="27"/>
      <c r="C9" s="27"/>
      <c r="D9" s="27"/>
      <c r="E9" s="28"/>
      <c r="F9" s="27"/>
      <c r="G9" s="33"/>
    </row>
    <row r="10" spans="1:8" x14ac:dyDescent="0.25">
      <c r="A10" s="1"/>
      <c r="B10" s="1"/>
      <c r="C10" s="1"/>
      <c r="D10" s="1"/>
      <c r="E10" s="2"/>
      <c r="F10" s="1"/>
      <c r="G10" s="3"/>
    </row>
  </sheetData>
  <mergeCells count="1">
    <mergeCell ref="A1:G1"/>
  </mergeCells>
  <conditionalFormatting sqref="A5">
    <cfRule type="duplicateValues" dxfId="19" priority="47"/>
  </conditionalFormatting>
  <conditionalFormatting sqref="A6">
    <cfRule type="duplicateValues" dxfId="18" priority="46"/>
  </conditionalFormatting>
  <conditionalFormatting sqref="A4">
    <cfRule type="duplicateValues" dxfId="17" priority="15"/>
  </conditionalFormatting>
  <conditionalFormatting sqref="D4">
    <cfRule type="cellIs" dxfId="16" priority="12" operator="equal">
      <formula>"PALLET"</formula>
    </cfRule>
    <cfRule type="cellIs" dxfId="15" priority="13" operator="equal">
      <formula>"GAYLORD"</formula>
    </cfRule>
    <cfRule type="cellIs" dxfId="14" priority="14" operator="equal">
      <formula>"CART"</formula>
    </cfRule>
  </conditionalFormatting>
  <conditionalFormatting sqref="F4">
    <cfRule type="expression" dxfId="13" priority="11">
      <formula>AND($G4&lt;&gt;"",$G4=0)</formula>
    </cfRule>
  </conditionalFormatting>
  <conditionalFormatting sqref="A3">
    <cfRule type="duplicateValues" dxfId="12" priority="5"/>
  </conditionalFormatting>
  <conditionalFormatting sqref="D3">
    <cfRule type="cellIs" dxfId="11" priority="2" operator="equal">
      <formula>"PALLET"</formula>
    </cfRule>
    <cfRule type="cellIs" dxfId="10" priority="3" operator="equal">
      <formula>"GAYLORD"</formula>
    </cfRule>
    <cfRule type="cellIs" dxfId="9" priority="4" operator="equal">
      <formula>"CART"</formula>
    </cfRule>
  </conditionalFormatting>
  <conditionalFormatting sqref="F3">
    <cfRule type="expression" dxfId="8" priority="1">
      <formula>AND($G3&lt;&gt;"",$G3=0)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5B52-B217-4239-9BEF-A2C2075284FD}">
  <sheetPr codeName="Sheet3"/>
  <dimension ref="A1:J65"/>
  <sheetViews>
    <sheetView tabSelected="1" workbookViewId="0">
      <selection activeCell="A28" sqref="A1:I50"/>
    </sheetView>
  </sheetViews>
  <sheetFormatPr defaultRowHeight="15" x14ac:dyDescent="0.25"/>
  <cols>
    <col min="2" max="2" width="23.85546875" bestFit="1" customWidth="1"/>
    <col min="7" max="7" width="9.140625" customWidth="1"/>
    <col min="8" max="8" width="14.5703125" customWidth="1"/>
    <col min="9" max="9" width="45.140625" customWidth="1"/>
    <col min="10" max="15" width="9.140625" customWidth="1"/>
  </cols>
  <sheetData>
    <row r="1" spans="1:10" ht="33" customHeight="1" thickBot="1" x14ac:dyDescent="0.6">
      <c r="A1" s="105" t="s">
        <v>26</v>
      </c>
      <c r="B1" s="106"/>
      <c r="C1" s="106"/>
      <c r="D1" s="106"/>
      <c r="E1" s="106"/>
      <c r="F1" s="106"/>
      <c r="G1" s="106"/>
      <c r="H1" s="106"/>
      <c r="I1" s="107"/>
      <c r="J1" s="34"/>
    </row>
    <row r="2" spans="1:10" ht="30.75" customHeight="1" thickBot="1" x14ac:dyDescent="0.3">
      <c r="A2" s="36"/>
      <c r="B2" s="30" t="s">
        <v>25</v>
      </c>
      <c r="C2" s="31" t="s">
        <v>24</v>
      </c>
      <c r="D2" s="32" t="s">
        <v>23</v>
      </c>
      <c r="E2" s="31" t="s">
        <v>22</v>
      </c>
      <c r="F2" s="31" t="s">
        <v>21</v>
      </c>
      <c r="G2" s="31" t="s">
        <v>20</v>
      </c>
      <c r="H2" s="35" t="s">
        <v>19</v>
      </c>
      <c r="I2" s="37" t="s">
        <v>18</v>
      </c>
      <c r="J2" s="34"/>
    </row>
    <row r="3" spans="1:10" ht="23.25" x14ac:dyDescent="0.25">
      <c r="A3" s="29"/>
      <c r="B3" s="26" t="s">
        <v>17</v>
      </c>
      <c r="C3" s="24">
        <f>SUM(C4:C50)</f>
        <v>105</v>
      </c>
      <c r="D3" s="25">
        <f>(E3/C61)</f>
        <v>0</v>
      </c>
      <c r="E3" s="24">
        <f>SUM(E4:E50)</f>
        <v>0</v>
      </c>
      <c r="F3" s="24">
        <f>SUM(F4:F50)</f>
        <v>0</v>
      </c>
      <c r="G3" s="23">
        <f>SUM(C63,C65)</f>
        <v>0</v>
      </c>
      <c r="H3" s="23"/>
      <c r="I3" s="22"/>
    </row>
    <row r="4" spans="1:10" x14ac:dyDescent="0.25">
      <c r="A4" s="108" t="s">
        <v>16</v>
      </c>
      <c r="B4" s="85" t="s">
        <v>30</v>
      </c>
      <c r="C4" s="17">
        <v>4</v>
      </c>
      <c r="D4" s="21">
        <f>MIN(Table42731062[[#This Row],[Actual Pallet Count]]/(Table42731062[[#This Row],[No. of Lanes]]*4),1)</f>
        <v>0</v>
      </c>
      <c r="E4" s="45"/>
      <c r="F4" s="45"/>
      <c r="G4" s="20">
        <f>Table42731062[[#This Row],[Actual Pallet Count]]-Table42731062[[#This Row],[Virtual Pallet Count]]</f>
        <v>0</v>
      </c>
      <c r="H4" s="70"/>
      <c r="I4" s="58"/>
    </row>
    <row r="5" spans="1:10" x14ac:dyDescent="0.25">
      <c r="A5" s="108"/>
      <c r="B5" s="103" t="s">
        <v>32</v>
      </c>
      <c r="C5" s="86">
        <v>2</v>
      </c>
      <c r="D5" s="87">
        <f>MIN(Table42731062[[#This Row],[Actual Pallet Count]]/(Table42731062[[#This Row],[No. of Lanes]]*20),1)</f>
        <v>0</v>
      </c>
      <c r="E5" s="45"/>
      <c r="F5" s="46"/>
      <c r="G5" s="20">
        <f>Table42731062[[#This Row],[Actual Pallet Count]]-Table42731062[[#This Row],[Virtual Pallet Count]]</f>
        <v>0</v>
      </c>
      <c r="H5" s="62"/>
      <c r="I5" s="46"/>
    </row>
    <row r="6" spans="1:10" x14ac:dyDescent="0.25">
      <c r="A6" s="108"/>
      <c r="B6" s="103" t="s">
        <v>33</v>
      </c>
      <c r="C6" s="38">
        <v>2</v>
      </c>
      <c r="D6" s="41">
        <f>MIN(Table42731062[[#This Row],[Actual Pallet Count]]/(Table42731062[[#This Row],[No. of Lanes]]*20),1)</f>
        <v>0</v>
      </c>
      <c r="E6" s="45"/>
      <c r="F6" s="46"/>
      <c r="G6" s="14">
        <f>Table42731062[[#This Row],[Actual Pallet Count]]-Table42731062[[#This Row],[Virtual Pallet Count]]</f>
        <v>0</v>
      </c>
      <c r="H6" s="46"/>
      <c r="I6" s="46"/>
    </row>
    <row r="7" spans="1:10" x14ac:dyDescent="0.25">
      <c r="A7" s="108"/>
      <c r="B7" s="103" t="s">
        <v>34</v>
      </c>
      <c r="C7" s="16">
        <v>3</v>
      </c>
      <c r="D7" s="18">
        <f>MIN(Table42731062[[#This Row],[Actual Pallet Count]]/(Table42731062[[#This Row],[No. of Lanes]]*20),1)</f>
        <v>0</v>
      </c>
      <c r="E7" s="45"/>
      <c r="F7" s="46"/>
      <c r="G7" s="19">
        <f>Table42731062[[#This Row],[Actual Pallet Count]]-Table42731062[[#This Row],[Virtual Pallet Count]]</f>
        <v>0</v>
      </c>
      <c r="H7" s="60"/>
      <c r="I7" s="45"/>
    </row>
    <row r="8" spans="1:10" x14ac:dyDescent="0.25">
      <c r="A8" s="108"/>
      <c r="B8" s="103" t="s">
        <v>35</v>
      </c>
      <c r="C8" s="38">
        <v>1</v>
      </c>
      <c r="D8" s="41">
        <f>MIN(Table42731062[[#This Row],[Actual Pallet Count]]/(Table42731062[[#This Row],[No. of Lanes]]*20),1)</f>
        <v>0</v>
      </c>
      <c r="E8" s="45"/>
      <c r="F8" s="46"/>
      <c r="G8" s="14">
        <f>Table42731062[[#This Row],[Actual Pallet Count]]-Table42731062[[#This Row],[Virtual Pallet Count]]</f>
        <v>0</v>
      </c>
      <c r="H8" s="46"/>
      <c r="I8" s="46"/>
    </row>
    <row r="9" spans="1:10" x14ac:dyDescent="0.25">
      <c r="A9" s="108"/>
      <c r="B9" s="103" t="s">
        <v>36</v>
      </c>
      <c r="C9" s="16">
        <v>1</v>
      </c>
      <c r="D9" s="18">
        <f>MIN(Table42731062[[#This Row],[Actual Pallet Count]]/(Table42731062[[#This Row],[No. of Lanes]]*20),1)</f>
        <v>0</v>
      </c>
      <c r="E9" s="45"/>
      <c r="F9" s="45"/>
      <c r="G9" s="19">
        <f>Table42731062[[#This Row],[Actual Pallet Count]]-Table42731062[[#This Row],[Virtual Pallet Count]]</f>
        <v>0</v>
      </c>
      <c r="H9" s="57"/>
      <c r="I9" s="45"/>
    </row>
    <row r="10" spans="1:10" x14ac:dyDescent="0.25">
      <c r="A10" s="108"/>
      <c r="B10" s="103" t="s">
        <v>37</v>
      </c>
      <c r="C10" s="38">
        <v>2</v>
      </c>
      <c r="D10" s="41">
        <f>MIN(Table42731062[[#This Row],[Actual Pallet Count]]/(Table42731062[[#This Row],[No. of Lanes]]*10),1)</f>
        <v>0</v>
      </c>
      <c r="E10" s="45"/>
      <c r="F10" s="46"/>
      <c r="G10" s="14">
        <f>Table42731062[[#This Row],[Actual Pallet Count]]-Table42731062[[#This Row],[Virtual Pallet Count]]</f>
        <v>0</v>
      </c>
      <c r="H10" s="46"/>
      <c r="I10" s="46"/>
    </row>
    <row r="11" spans="1:10" x14ac:dyDescent="0.25">
      <c r="A11" s="108"/>
      <c r="B11" s="103" t="s">
        <v>38</v>
      </c>
      <c r="C11" s="93">
        <v>2</v>
      </c>
      <c r="D11" s="94">
        <f>MIN(Table42731062[[#This Row],[Actual Pallet Count]]/(Table42731062[[#This Row],[No. of Lanes]]*10),1)</f>
        <v>0</v>
      </c>
      <c r="E11" s="97"/>
      <c r="F11" s="46"/>
      <c r="G11" s="95">
        <f>Table42731062[[#This Row],[Actual Pallet Count]]-Table42731062[[#This Row],[Virtual Pallet Count]]</f>
        <v>0</v>
      </c>
      <c r="H11" s="96"/>
      <c r="I11" s="96"/>
    </row>
    <row r="12" spans="1:10" x14ac:dyDescent="0.25">
      <c r="A12" s="108"/>
      <c r="B12" s="103" t="s">
        <v>39</v>
      </c>
      <c r="C12" s="71">
        <v>1</v>
      </c>
      <c r="D12" s="72">
        <f>MIN(Table42731062[[#This Row],[Actual Pallet Count]]/(Table42731062[[#This Row],[No. of Lanes]]*20),1)</f>
        <v>0</v>
      </c>
      <c r="E12" s="75"/>
      <c r="F12" s="74"/>
      <c r="G12" s="73">
        <f>Table42731062[[#This Row],[Actual Pallet Count]]-Table42731062[[#This Row],[Virtual Pallet Count]]</f>
        <v>0</v>
      </c>
      <c r="H12" s="60"/>
      <c r="I12" s="46"/>
    </row>
    <row r="13" spans="1:10" x14ac:dyDescent="0.25">
      <c r="A13" s="108"/>
      <c r="B13" s="103" t="s">
        <v>40</v>
      </c>
      <c r="C13" s="38">
        <v>2</v>
      </c>
      <c r="D13" s="41">
        <f>MIN(Table42731062[[#This Row],[Actual Pallet Count]]/(Table42731062[[#This Row],[No. of Lanes]]*20),1)</f>
        <v>0</v>
      </c>
      <c r="E13" s="45"/>
      <c r="F13" s="45"/>
      <c r="G13" s="14">
        <f>Table42731062[[#This Row],[Actual Pallet Count]]-Table42731062[[#This Row],[Virtual Pallet Count]]</f>
        <v>0</v>
      </c>
      <c r="H13" s="56"/>
      <c r="I13" s="45"/>
    </row>
    <row r="14" spans="1:10" x14ac:dyDescent="0.25">
      <c r="A14" s="108"/>
      <c r="B14" s="103" t="s">
        <v>41</v>
      </c>
      <c r="C14" s="109">
        <v>1</v>
      </c>
      <c r="D14" s="110">
        <f>MIN(Table42731062[[#This Row],[Actual Pallet Count]]/(Table42731062[[#This Row],[No. of Lanes]]*10),1)</f>
        <v>0</v>
      </c>
      <c r="E14" s="111"/>
      <c r="F14" s="112"/>
      <c r="G14" s="113">
        <f>Table42731062[[#This Row],[Actual Pallet Count]]-Table42731062[[#This Row],[Virtual Pallet Count]]</f>
        <v>0</v>
      </c>
      <c r="H14" s="114"/>
      <c r="I14" s="115"/>
    </row>
    <row r="15" spans="1:10" x14ac:dyDescent="0.25">
      <c r="A15" s="108"/>
      <c r="B15" s="103" t="s">
        <v>75</v>
      </c>
      <c r="C15" s="16">
        <v>1</v>
      </c>
      <c r="D15" s="18">
        <f>MIN(Table42731062[[#This Row],[Actual Pallet Count]]/(Table42731062[[#This Row],[No. of Lanes]]*20),1)</f>
        <v>0</v>
      </c>
      <c r="E15" s="45"/>
      <c r="F15" s="45"/>
      <c r="G15" s="14">
        <f>Table42731062[[#This Row],[Actual Pallet Count]]-Table42731062[[#This Row],[Virtual Pallet Count]]</f>
        <v>0</v>
      </c>
      <c r="H15" s="57"/>
      <c r="I15" s="45"/>
    </row>
    <row r="16" spans="1:10" x14ac:dyDescent="0.25">
      <c r="A16" s="108"/>
      <c r="B16" s="103" t="s">
        <v>42</v>
      </c>
      <c r="C16" s="16">
        <v>1</v>
      </c>
      <c r="D16" s="18">
        <f>MIN(Table42731062[[#This Row],[Actual Pallet Count]]/(Table42731062[[#This Row],[No. of Lanes]]*20),1)</f>
        <v>0</v>
      </c>
      <c r="E16" s="45"/>
      <c r="F16" s="45"/>
      <c r="G16" s="19">
        <f>Table42731062[[#This Row],[Actual Pallet Count]]-Table42731062[[#This Row],[Virtual Pallet Count]]</f>
        <v>0</v>
      </c>
      <c r="H16" s="83"/>
      <c r="I16" s="45"/>
    </row>
    <row r="17" spans="1:9" x14ac:dyDescent="0.25">
      <c r="A17" s="108"/>
      <c r="B17" s="103" t="s">
        <v>43</v>
      </c>
      <c r="C17" s="38">
        <v>2</v>
      </c>
      <c r="D17" s="53">
        <f>MIN(Table42731062[[#This Row],[Actual Pallet Count]]/(Table42731062[[#This Row],[No. of Lanes]]*20),1)</f>
        <v>0</v>
      </c>
      <c r="E17" s="59"/>
      <c r="F17" s="55"/>
      <c r="G17" s="54">
        <f>Table42731062[[#This Row],[Actual Pallet Count]]-Table42731062[[#This Row],[Virtual Pallet Count]]</f>
        <v>0</v>
      </c>
      <c r="H17" s="9"/>
      <c r="I17" s="46"/>
    </row>
    <row r="18" spans="1:9" x14ac:dyDescent="0.25">
      <c r="A18" s="108"/>
      <c r="B18" s="103" t="s">
        <v>44</v>
      </c>
      <c r="C18" s="16">
        <v>1</v>
      </c>
      <c r="D18" s="18">
        <f>MIN(Table42731062[[#This Row],[Actual Pallet Count]]/(Table42731062[[#This Row],[No. of Lanes]]*20),1)</f>
        <v>0</v>
      </c>
      <c r="E18" s="45"/>
      <c r="F18" s="45"/>
      <c r="G18" s="14">
        <f>Table42731062[[#This Row],[Actual Pallet Count]]-Table42731062[[#This Row],[Virtual Pallet Count]]</f>
        <v>0</v>
      </c>
      <c r="H18" s="60"/>
      <c r="I18" s="45"/>
    </row>
    <row r="19" spans="1:9" x14ac:dyDescent="0.25">
      <c r="A19" s="108"/>
      <c r="B19" s="103" t="s">
        <v>45</v>
      </c>
      <c r="C19" s="38">
        <v>2</v>
      </c>
      <c r="D19" s="18">
        <f>MIN(Table42731062[[#This Row],[Actual Pallet Count]]/(Table42731062[[#This Row],[No. of Lanes]]*20),1)</f>
        <v>0</v>
      </c>
      <c r="E19" s="45"/>
      <c r="F19" s="45"/>
      <c r="G19" s="14">
        <f>Table42731062[[#This Row],[Actual Pallet Count]]-Table42731062[[#This Row],[Virtual Pallet Count]]</f>
        <v>0</v>
      </c>
      <c r="H19" s="62"/>
      <c r="I19" s="45"/>
    </row>
    <row r="20" spans="1:9" x14ac:dyDescent="0.25">
      <c r="A20" s="108"/>
      <c r="B20" s="103" t="s">
        <v>46</v>
      </c>
      <c r="C20" s="16">
        <v>1</v>
      </c>
      <c r="D20" s="18">
        <f>MIN(Table42731062[[#This Row],[Actual Pallet Count]]/(Table42731062[[#This Row],[No. of Lanes]]*20),1)</f>
        <v>0</v>
      </c>
      <c r="E20" s="45"/>
      <c r="F20" s="45"/>
      <c r="G20" s="19">
        <f>Table42731062[[#This Row],[Actual Pallet Count]]-Table42731062[[#This Row],[Virtual Pallet Count]]</f>
        <v>0</v>
      </c>
      <c r="H20" s="57"/>
      <c r="I20" s="45"/>
    </row>
    <row r="21" spans="1:9" x14ac:dyDescent="0.25">
      <c r="A21" s="108"/>
      <c r="B21" s="103" t="s">
        <v>47</v>
      </c>
      <c r="C21" s="16">
        <v>2</v>
      </c>
      <c r="D21" s="18">
        <f>MIN(Table42731062[[#This Row],[Actual Pallet Count]]/(Table42731062[[#This Row],[No. of Lanes]]*20),1)</f>
        <v>0</v>
      </c>
      <c r="E21" s="45"/>
      <c r="F21" s="45"/>
      <c r="G21" s="14">
        <f>Table42731062[[#This Row],[Actual Pallet Count]]-Table42731062[[#This Row],[Virtual Pallet Count]]</f>
        <v>0</v>
      </c>
      <c r="H21" s="57"/>
      <c r="I21" s="45"/>
    </row>
    <row r="22" spans="1:9" x14ac:dyDescent="0.25">
      <c r="A22" s="108"/>
      <c r="B22" s="103" t="s">
        <v>48</v>
      </c>
      <c r="C22" s="42">
        <v>1</v>
      </c>
      <c r="D22" s="43">
        <f>MIN(Table42731062[[#This Row],[Actual Pallet Count]]/(Table42731062[[#This Row],[No. of Lanes]]*20),1)</f>
        <v>0</v>
      </c>
      <c r="E22" s="45"/>
      <c r="F22" s="45"/>
      <c r="G22" s="44">
        <f>Table42731062[[#This Row],[Actual Pallet Count]]-Table42731062[[#This Row],[Virtual Pallet Count]]</f>
        <v>0</v>
      </c>
      <c r="H22" s="57"/>
      <c r="I22" s="45"/>
    </row>
    <row r="23" spans="1:9" x14ac:dyDescent="0.25">
      <c r="A23" s="108"/>
      <c r="B23" s="103" t="s">
        <v>49</v>
      </c>
      <c r="C23" s="38">
        <v>2</v>
      </c>
      <c r="D23" s="41">
        <f>MIN(Table42731062[[#This Row],[Actual Pallet Count]]/(Table42731062[[#This Row],[No. of Lanes]]*20),1)</f>
        <v>0</v>
      </c>
      <c r="E23" s="45"/>
      <c r="F23" s="46"/>
      <c r="G23" s="14">
        <f>Table42731062[[#This Row],[Actual Pallet Count]]-Table42731062[[#This Row],[Virtual Pallet Count]]</f>
        <v>0</v>
      </c>
      <c r="H23" s="46"/>
      <c r="I23" s="46"/>
    </row>
    <row r="24" spans="1:9" x14ac:dyDescent="0.25">
      <c r="A24" s="108"/>
      <c r="B24" s="103" t="s">
        <v>50</v>
      </c>
      <c r="C24" s="38">
        <v>2</v>
      </c>
      <c r="D24" s="41">
        <f>MIN(Table42731062[[#This Row],[Actual Pallet Count]]/(Table42731062[[#This Row],[No. of Lanes]]*20),1)</f>
        <v>0</v>
      </c>
      <c r="E24" s="45"/>
      <c r="F24" s="46"/>
      <c r="G24" s="14">
        <f>Table42731062[[#This Row],[Actual Pallet Count]]-Table42731062[[#This Row],[Virtual Pallet Count]]</f>
        <v>0</v>
      </c>
      <c r="H24" s="46"/>
      <c r="I24" s="46"/>
    </row>
    <row r="25" spans="1:9" x14ac:dyDescent="0.25">
      <c r="A25" s="108"/>
      <c r="B25" s="103" t="s">
        <v>51</v>
      </c>
      <c r="C25" s="71">
        <v>2</v>
      </c>
      <c r="D25" s="72">
        <f>MIN(Table42731062[[#This Row],[Actual Pallet Count]]/(Table42731062[[#This Row],[No. of Lanes]]*20),1)</f>
        <v>0</v>
      </c>
      <c r="E25" s="75"/>
      <c r="F25" s="74"/>
      <c r="G25" s="73">
        <f>Table42731062[[#This Row],[Actual Pallet Count]]-Table42731062[[#This Row],[Virtual Pallet Count]]</f>
        <v>0</v>
      </c>
      <c r="H25" s="74"/>
      <c r="I25" s="74"/>
    </row>
    <row r="26" spans="1:9" x14ac:dyDescent="0.25">
      <c r="A26" s="108"/>
      <c r="B26" s="103" t="s">
        <v>52</v>
      </c>
      <c r="C26" s="71">
        <v>1</v>
      </c>
      <c r="D26" s="72">
        <f>MIN(Table42731062[[#This Row],[Actual Pallet Count]]/(Table42731062[[#This Row],[No. of Lanes]]*20),1)</f>
        <v>0</v>
      </c>
      <c r="E26" s="75"/>
      <c r="F26" s="74"/>
      <c r="G26" s="73">
        <f>Table42731062[[#This Row],[Actual Pallet Count]]-Table42731062[[#This Row],[Virtual Pallet Count]]</f>
        <v>0</v>
      </c>
      <c r="H26" s="74"/>
      <c r="I26" s="74"/>
    </row>
    <row r="27" spans="1:9" x14ac:dyDescent="0.25">
      <c r="A27" s="108"/>
      <c r="B27" s="103" t="s">
        <v>53</v>
      </c>
      <c r="C27" s="71">
        <v>1</v>
      </c>
      <c r="D27" s="72">
        <f>MIN(Table42731062[[#This Row],[Actual Pallet Count]]/(Table42731062[[#This Row],[No. of Lanes]]*20),1)</f>
        <v>0</v>
      </c>
      <c r="E27" s="75"/>
      <c r="F27" s="74"/>
      <c r="G27" s="73">
        <f>Table42731062[[#This Row],[Actual Pallet Count]]-Table42731062[[#This Row],[Virtual Pallet Count]]</f>
        <v>0</v>
      </c>
      <c r="H27" s="74"/>
      <c r="I27" s="74"/>
    </row>
    <row r="28" spans="1:9" x14ac:dyDescent="0.25">
      <c r="A28" s="108" t="s">
        <v>15</v>
      </c>
      <c r="B28" s="103" t="s">
        <v>54</v>
      </c>
      <c r="C28" s="16">
        <v>3</v>
      </c>
      <c r="D28" s="15">
        <f>MIN(Table42731062[[#This Row],[Actual Pallet Count]]/(Table42731062[[#This Row],[No. of Lanes]]*10),1)</f>
        <v>0</v>
      </c>
      <c r="E28" s="45"/>
      <c r="F28" s="45"/>
      <c r="G28" s="14">
        <f>Table42731062[[#This Row],[Actual Pallet Count]]-Table42731062[[#This Row],[Virtual Pallet Count]]</f>
        <v>0</v>
      </c>
      <c r="H28" s="56"/>
      <c r="I28" s="45"/>
    </row>
    <row r="29" spans="1:9" x14ac:dyDescent="0.25">
      <c r="A29" s="108"/>
      <c r="B29" s="103" t="s">
        <v>55</v>
      </c>
      <c r="C29" s="16">
        <v>4</v>
      </c>
      <c r="D29" s="18">
        <f>MIN(Table42731062[[#This Row],[Actual Pallet Count]]/(Table42731062[[#This Row],[No. of Lanes]]*10),1)</f>
        <v>0</v>
      </c>
      <c r="E29" s="45"/>
      <c r="F29" s="45"/>
      <c r="G29" s="19">
        <f>Table42731062[[#This Row],[Actual Pallet Count]]-Table42731062[[#This Row],[Virtual Pallet Count]]</f>
        <v>0</v>
      </c>
      <c r="H29" s="57"/>
      <c r="I29" s="57"/>
    </row>
    <row r="30" spans="1:9" x14ac:dyDescent="0.25">
      <c r="A30" s="108"/>
      <c r="B30" s="103" t="s">
        <v>56</v>
      </c>
      <c r="C30" s="52">
        <v>6</v>
      </c>
      <c r="D30" s="53">
        <f>MIN(Table42731062[[#This Row],[Actual Pallet Count]]/(Table42731062[[#This Row],[No. of Lanes]]*10),1)</f>
        <v>0</v>
      </c>
      <c r="E30" s="59"/>
      <c r="F30" s="55"/>
      <c r="G30" s="54">
        <f>Table42731062[[#This Row],[Actual Pallet Count]]-Table42731062[[#This Row],[Virtual Pallet Count]]</f>
        <v>0</v>
      </c>
      <c r="H30" s="63"/>
      <c r="I30" s="55"/>
    </row>
    <row r="31" spans="1:9" x14ac:dyDescent="0.25">
      <c r="A31" s="108"/>
      <c r="B31" s="103" t="s">
        <v>57</v>
      </c>
      <c r="C31" s="64">
        <v>2</v>
      </c>
      <c r="D31" s="65">
        <f>MIN(Table42731062[[#This Row],[Actual Pallet Count]]/(Table42731062[[#This Row],[No. of Lanes]]*10),1)</f>
        <v>0</v>
      </c>
      <c r="E31" s="68"/>
      <c r="F31" s="67"/>
      <c r="G31" s="66">
        <f>Table42731062[[#This Row],[Actual Pallet Count]]-Table42731062[[#This Row],[Virtual Pallet Count]]</f>
        <v>0</v>
      </c>
      <c r="H31" s="46"/>
      <c r="I31" s="46"/>
    </row>
    <row r="32" spans="1:9" x14ac:dyDescent="0.25">
      <c r="A32" s="108"/>
      <c r="B32" s="103" t="s">
        <v>58</v>
      </c>
      <c r="C32" s="38">
        <v>4</v>
      </c>
      <c r="D32" s="41">
        <f>MIN(Table42731062[[#This Row],[Actual Pallet Count]]/(Table42731062[[#This Row],[No. of Lanes]]*10),1)</f>
        <v>0</v>
      </c>
      <c r="E32" s="45"/>
      <c r="F32" s="46"/>
      <c r="G32" s="14">
        <f>Table42731062[[#This Row],[Actual Pallet Count]]-Table42731062[[#This Row],[Virtual Pallet Count]]</f>
        <v>0</v>
      </c>
      <c r="H32" s="46"/>
      <c r="I32" s="46"/>
    </row>
    <row r="33" spans="1:9" x14ac:dyDescent="0.25">
      <c r="A33" s="108"/>
      <c r="B33" s="103" t="s">
        <v>59</v>
      </c>
      <c r="C33" s="38">
        <v>4</v>
      </c>
      <c r="D33" s="41">
        <f>MIN(Table42731062[[#This Row],[Actual Pallet Count]]/(Table42731062[[#This Row],[No. of Lanes]]*10),1)</f>
        <v>0</v>
      </c>
      <c r="E33" s="45"/>
      <c r="F33" s="46"/>
      <c r="G33" s="14">
        <f>Table42731062[[#This Row],[Actual Pallet Count]]-Table42731062[[#This Row],[Virtual Pallet Count]]</f>
        <v>0</v>
      </c>
      <c r="H33" s="62"/>
      <c r="I33" s="46"/>
    </row>
    <row r="34" spans="1:9" x14ac:dyDescent="0.25">
      <c r="A34" s="108"/>
      <c r="B34" s="103" t="s">
        <v>60</v>
      </c>
      <c r="C34" s="64">
        <v>4</v>
      </c>
      <c r="D34" s="65">
        <f>MIN(Table42731062[[#This Row],[Actual Pallet Count]]/(Table42731062[[#This Row],[No. of Lanes]]*10),1)</f>
        <v>0</v>
      </c>
      <c r="E34" s="68"/>
      <c r="F34" s="67"/>
      <c r="G34" s="66">
        <f>Table42731062[[#This Row],[Actual Pallet Count]]-Table42731062[[#This Row],[Virtual Pallet Count]]</f>
        <v>0</v>
      </c>
      <c r="H34" s="67"/>
      <c r="I34" s="67"/>
    </row>
    <row r="35" spans="1:9" x14ac:dyDescent="0.25">
      <c r="A35" s="108"/>
      <c r="B35" s="103" t="s">
        <v>61</v>
      </c>
      <c r="C35" s="64">
        <v>4</v>
      </c>
      <c r="D35" s="65">
        <f>MIN(Table42731062[[#This Row],[Actual Pallet Count]]/(Table42731062[[#This Row],[No. of Lanes]]*10),1)</f>
        <v>0</v>
      </c>
      <c r="E35" s="68"/>
      <c r="F35" s="67"/>
      <c r="G35" s="66">
        <f>Table42731062[[#This Row],[Actual Pallet Count]]-Table42731062[[#This Row],[Virtual Pallet Count]]</f>
        <v>0</v>
      </c>
      <c r="H35" s="46"/>
      <c r="I35" s="67"/>
    </row>
    <row r="36" spans="1:9" x14ac:dyDescent="0.25">
      <c r="A36" s="108"/>
      <c r="B36" s="103" t="s">
        <v>62</v>
      </c>
      <c r="C36" s="64">
        <v>4</v>
      </c>
      <c r="D36" s="65">
        <f>MIN(Table42731062[[#This Row],[Actual Pallet Count]]/(Table42731062[[#This Row],[No. of Lanes]]*10),1)</f>
        <v>0</v>
      </c>
      <c r="E36" s="68"/>
      <c r="F36" s="67"/>
      <c r="G36" s="66">
        <f>Table42731062[[#This Row],[Actual Pallet Count]]-Table42731062[[#This Row],[Virtual Pallet Count]]</f>
        <v>0</v>
      </c>
      <c r="H36" s="46"/>
      <c r="I36" s="67"/>
    </row>
    <row r="37" spans="1:9" x14ac:dyDescent="0.25">
      <c r="A37" s="108"/>
      <c r="B37" s="103" t="s">
        <v>63</v>
      </c>
      <c r="C37" s="16">
        <v>4</v>
      </c>
      <c r="D37" s="18">
        <f>MIN(Table42731062[[#This Row],[Actual Pallet Count]]/(Table42731062[[#This Row],[No. of Lanes]]*10),1)</f>
        <v>0</v>
      </c>
      <c r="E37" s="45"/>
      <c r="F37" s="45"/>
      <c r="G37" s="14">
        <f>Table42731062[[#This Row],[Actual Pallet Count]]-Table42731062[[#This Row],[Virtual Pallet Count]]</f>
        <v>0</v>
      </c>
      <c r="H37" s="57"/>
      <c r="I37" s="45"/>
    </row>
    <row r="38" spans="1:9" x14ac:dyDescent="0.25">
      <c r="A38" s="108"/>
      <c r="B38" s="103" t="s">
        <v>64</v>
      </c>
      <c r="C38" s="16">
        <v>4</v>
      </c>
      <c r="D38" s="15">
        <f>MIN(Table42731062[[#This Row],[Actual Pallet Count]]/(Table42731062[[#This Row],[No. of Lanes]]*10),1)</f>
        <v>0</v>
      </c>
      <c r="E38" s="45"/>
      <c r="F38" s="45"/>
      <c r="G38" s="14">
        <f>Table42731062[[#This Row],[Actual Pallet Count]]-Table42731062[[#This Row],[Virtual Pallet Count]]</f>
        <v>0</v>
      </c>
      <c r="H38" s="57"/>
      <c r="I38" s="45"/>
    </row>
    <row r="39" spans="1:9" x14ac:dyDescent="0.25">
      <c r="A39" s="108"/>
      <c r="B39" s="103" t="s">
        <v>65</v>
      </c>
      <c r="C39" s="38">
        <v>2</v>
      </c>
      <c r="D39" s="41">
        <f>MIN(Table42731062[[#This Row],[Actual Pallet Count]]/(Table42731062[[#This Row],[No. of Lanes]]*10),1)</f>
        <v>0</v>
      </c>
      <c r="E39" s="45"/>
      <c r="F39" s="46"/>
      <c r="G39" s="14">
        <f>Table42731062[[#This Row],[Actual Pallet Count]]-Table42731062[[#This Row],[Virtual Pallet Count]]</f>
        <v>0</v>
      </c>
      <c r="H39" s="46"/>
      <c r="I39" s="46"/>
    </row>
    <row r="40" spans="1:9" x14ac:dyDescent="0.25">
      <c r="A40" s="108"/>
      <c r="B40" s="103" t="s">
        <v>66</v>
      </c>
      <c r="C40" s="71">
        <v>1</v>
      </c>
      <c r="D40" s="72">
        <f>MIN(Table42731062[[#This Row],[Actual Pallet Count]]/(Table42731062[[#This Row],[No. of Lanes]]*10),1)</f>
        <v>0</v>
      </c>
      <c r="E40" s="75"/>
      <c r="F40" s="74"/>
      <c r="G40" s="73">
        <f>Table42731062[[#This Row],[Actual Pallet Count]]-Table42731062[[#This Row],[Virtual Pallet Count]]</f>
        <v>0</v>
      </c>
      <c r="H40" s="46"/>
      <c r="I40" s="46"/>
    </row>
    <row r="41" spans="1:9" x14ac:dyDescent="0.25">
      <c r="A41" s="108"/>
      <c r="B41" s="103" t="s">
        <v>67</v>
      </c>
      <c r="C41" s="38">
        <v>2</v>
      </c>
      <c r="D41" s="41">
        <f>MIN(Table42731062[[#This Row],[Actual Pallet Count]]/(Table42731062[[#This Row],[No. of Lanes]]*10),1)</f>
        <v>0</v>
      </c>
      <c r="E41" s="45"/>
      <c r="F41" s="46"/>
      <c r="G41" s="14">
        <f>Table42731062[[#This Row],[Actual Pallet Count]]-Table42731062[[#This Row],[Virtual Pallet Count]]</f>
        <v>0</v>
      </c>
      <c r="H41" s="46"/>
      <c r="I41" s="46"/>
    </row>
    <row r="42" spans="1:9" x14ac:dyDescent="0.25">
      <c r="A42" s="108"/>
      <c r="B42" s="103" t="s">
        <v>68</v>
      </c>
      <c r="C42" s="38">
        <v>3</v>
      </c>
      <c r="D42" s="41">
        <f>MIN(Table42731062[[#This Row],[Actual Pallet Count]]/(Table42731062[[#This Row],[No. of Lanes]]*10),1)</f>
        <v>0</v>
      </c>
      <c r="E42" s="45"/>
      <c r="F42" s="46"/>
      <c r="G42" s="14">
        <f>Table42731062[[#This Row],[Actual Pallet Count]]-Table42731062[[#This Row],[Virtual Pallet Count]]</f>
        <v>0</v>
      </c>
      <c r="H42" s="46"/>
      <c r="I42" s="46"/>
    </row>
    <row r="43" spans="1:9" x14ac:dyDescent="0.25">
      <c r="A43" s="108"/>
      <c r="B43" s="103" t="s">
        <v>69</v>
      </c>
      <c r="C43" s="93">
        <v>2</v>
      </c>
      <c r="D43" s="94">
        <f>MIN(Table42731062[[#This Row],[Actual Pallet Count]]/(Table42731062[[#This Row],[No. of Lanes]]*10),1)</f>
        <v>0</v>
      </c>
      <c r="E43" s="97"/>
      <c r="F43" s="96"/>
      <c r="G43" s="95">
        <f>Table42731062[[#This Row],[Actual Pallet Count]]-Table42731062[[#This Row],[Virtual Pallet Count]]</f>
        <v>0</v>
      </c>
      <c r="H43" s="96"/>
      <c r="I43" s="96"/>
    </row>
    <row r="44" spans="1:9" ht="15" customHeight="1" x14ac:dyDescent="0.25">
      <c r="A44" s="108"/>
      <c r="B44" s="103" t="s">
        <v>70</v>
      </c>
      <c r="C44" s="71">
        <v>2</v>
      </c>
      <c r="D44" s="72">
        <f>MIN(Table42731062[[#This Row],[Actual Pallet Count]]/(Table42731062[[#This Row],[No. of Lanes]]*10),1)</f>
        <v>0</v>
      </c>
      <c r="E44" s="75"/>
      <c r="F44" s="74"/>
      <c r="G44" s="73">
        <f>Table42731062[[#This Row],[Actual Pallet Count]]-Table42731062[[#This Row],[Virtual Pallet Count]]</f>
        <v>0</v>
      </c>
      <c r="H44" s="46"/>
      <c r="I44" s="46"/>
    </row>
    <row r="45" spans="1:9" x14ac:dyDescent="0.25">
      <c r="A45" s="108"/>
      <c r="B45" s="103" t="s">
        <v>71</v>
      </c>
      <c r="C45" s="38">
        <v>2</v>
      </c>
      <c r="D45" s="41">
        <f>MIN(Table42731062[[#This Row],[Actual Pallet Count]]/(Table42731062[[#This Row],[No. of Lanes]]*10),1)</f>
        <v>0</v>
      </c>
      <c r="E45" s="45"/>
      <c r="F45" s="46"/>
      <c r="G45" s="14">
        <f>Table42731062[[#This Row],[Actual Pallet Count]]-Table42731062[[#This Row],[Virtual Pallet Count]]</f>
        <v>0</v>
      </c>
      <c r="H45" s="46"/>
      <c r="I45" s="46"/>
    </row>
    <row r="46" spans="1:9" x14ac:dyDescent="0.25">
      <c r="A46" s="108"/>
      <c r="B46" s="103" t="s">
        <v>72</v>
      </c>
      <c r="C46" s="71">
        <v>2</v>
      </c>
      <c r="D46" s="72">
        <f>MIN(Table42731062[[#This Row],[Actual Pallet Count]]/(Table42731062[[#This Row],[No. of Lanes]]*10),1)</f>
        <v>0</v>
      </c>
      <c r="E46" s="75"/>
      <c r="F46" s="74"/>
      <c r="G46" s="73">
        <f>Table42731062[[#This Row],[Actual Pallet Count]]-Table42731062[[#This Row],[Virtual Pallet Count]]</f>
        <v>0</v>
      </c>
      <c r="H46" s="46"/>
      <c r="I46" s="46"/>
    </row>
    <row r="47" spans="1:9" x14ac:dyDescent="0.25">
      <c r="A47" s="108"/>
      <c r="B47" s="103" t="s">
        <v>73</v>
      </c>
      <c r="C47" s="48">
        <v>2</v>
      </c>
      <c r="D47" s="49">
        <f>MIN(Table42731062[[#This Row],[Actual Pallet Count]]/(Table42731062[[#This Row],[No. of Lanes]]*10),1)</f>
        <v>0</v>
      </c>
      <c r="E47" s="61"/>
      <c r="F47" s="51"/>
      <c r="G47" s="50">
        <f>Table42731062[[#This Row],[Actual Pallet Count]]-Table42731062[[#This Row],[Virtual Pallet Count]]</f>
        <v>0</v>
      </c>
      <c r="H47" s="69"/>
      <c r="I47" s="46"/>
    </row>
    <row r="48" spans="1:9" x14ac:dyDescent="0.25">
      <c r="A48" s="108"/>
      <c r="B48" s="103" t="s">
        <v>74</v>
      </c>
      <c r="C48" s="38">
        <v>2</v>
      </c>
      <c r="D48" s="41">
        <f>MIN(Table42731062[[#This Row],[Actual Pallet Count]]/(Table42731062[[#This Row],[No. of Lanes]]*10),1)</f>
        <v>0</v>
      </c>
      <c r="E48" s="45"/>
      <c r="F48" s="45"/>
      <c r="G48" s="14">
        <f>Table42731062[[#This Row],[Actual Pallet Count]]-Table42731062[[#This Row],[Virtual Pallet Count]]</f>
        <v>0</v>
      </c>
      <c r="H48" s="60"/>
      <c r="I48" s="45"/>
    </row>
    <row r="49" spans="1:9" x14ac:dyDescent="0.25">
      <c r="A49" s="108"/>
      <c r="B49" s="85" t="s">
        <v>29</v>
      </c>
      <c r="C49" s="38">
        <v>1</v>
      </c>
      <c r="D49" s="41">
        <f>MIN(Table42731062[[#This Row],[Actual Pallet Count]]/(Table42731062[[#This Row],[No. of Lanes]]*10),1)</f>
        <v>0</v>
      </c>
      <c r="E49" s="45"/>
      <c r="F49" s="45"/>
      <c r="G49" s="14">
        <f>Table42731062[[#This Row],[Actual Pallet Count]]-Table42731062[[#This Row],[Virtual Pallet Count]]</f>
        <v>0</v>
      </c>
      <c r="H49" s="57"/>
      <c r="I49" s="45"/>
    </row>
    <row r="50" spans="1:9" x14ac:dyDescent="0.25">
      <c r="A50" s="108"/>
      <c r="B50" s="85" t="s">
        <v>28</v>
      </c>
      <c r="C50" s="16">
        <v>1</v>
      </c>
      <c r="D50" s="15">
        <f>MIN(Table42731062[[#This Row],[Actual Pallet Count]]/(Table42731062[[#This Row],[No. of Lanes]]*10),1)</f>
        <v>0</v>
      </c>
      <c r="E50" s="45"/>
      <c r="F50" s="45"/>
      <c r="G50" s="14">
        <f>Table42731062[[#This Row],[Actual Pallet Count]]-Table42731062[[#This Row],[Virtual Pallet Count]]</f>
        <v>0</v>
      </c>
      <c r="H50" s="60"/>
      <c r="I50" s="45"/>
    </row>
    <row r="51" spans="1:9" x14ac:dyDescent="0.25">
      <c r="B51" s="13"/>
      <c r="C51" s="10"/>
      <c r="D51" s="12"/>
      <c r="E51" s="10"/>
      <c r="F51" s="10"/>
      <c r="G51" s="11"/>
      <c r="H51" s="11"/>
      <c r="I51" s="11"/>
    </row>
    <row r="52" spans="1:9" x14ac:dyDescent="0.25">
      <c r="H52" s="9"/>
      <c r="I52" s="47"/>
    </row>
    <row r="53" spans="1:9" x14ac:dyDescent="0.25">
      <c r="E53" s="9"/>
    </row>
    <row r="56" spans="1:9" ht="30" x14ac:dyDescent="0.25">
      <c r="B56" s="8" t="s">
        <v>14</v>
      </c>
      <c r="C56" s="7">
        <v>5</v>
      </c>
      <c r="D56" s="5"/>
      <c r="E56" s="5"/>
    </row>
    <row r="57" spans="1:9" x14ac:dyDescent="0.25">
      <c r="B57" s="8" t="s">
        <v>27</v>
      </c>
      <c r="C57" s="7">
        <v>12</v>
      </c>
      <c r="D57" s="5"/>
      <c r="E57" s="5"/>
    </row>
    <row r="58" spans="1:9" x14ac:dyDescent="0.25">
      <c r="B58" s="8" t="s">
        <v>13</v>
      </c>
      <c r="C58" s="7">
        <v>18</v>
      </c>
      <c r="D58" s="5"/>
      <c r="E58" s="5"/>
    </row>
    <row r="59" spans="1:9" x14ac:dyDescent="0.25">
      <c r="B59" s="7" t="s">
        <v>11</v>
      </c>
      <c r="C59" s="7">
        <f>SUM(C6:C27)*20</f>
        <v>680</v>
      </c>
      <c r="D59" s="5"/>
      <c r="E59" s="5"/>
    </row>
    <row r="60" spans="1:9" x14ac:dyDescent="0.25">
      <c r="B60" s="7" t="s">
        <v>9</v>
      </c>
      <c r="C60" s="7">
        <f>SUM(C28:C44,C45:C48)*10</f>
        <v>630</v>
      </c>
      <c r="D60" s="5"/>
      <c r="E60" s="5"/>
    </row>
    <row r="61" spans="1:9" x14ac:dyDescent="0.25">
      <c r="B61" s="7" t="s">
        <v>8</v>
      </c>
      <c r="C61" s="6">
        <f>SUM(C55:C60)</f>
        <v>1345</v>
      </c>
      <c r="D61" s="5"/>
      <c r="E61" s="4"/>
    </row>
    <row r="63" spans="1:9" x14ac:dyDescent="0.25">
      <c r="B63" t="s">
        <v>12</v>
      </c>
      <c r="C63">
        <f>SUMIF(G4:G50,"&gt;0")</f>
        <v>0</v>
      </c>
    </row>
    <row r="64" spans="1:9" x14ac:dyDescent="0.25">
      <c r="B64" t="s">
        <v>10</v>
      </c>
      <c r="C64">
        <f>SUMIF(G4:G50,"&lt;0")</f>
        <v>0</v>
      </c>
    </row>
    <row r="65" spans="3:3" x14ac:dyDescent="0.25">
      <c r="C65">
        <f>ABS(C64)</f>
        <v>0</v>
      </c>
    </row>
  </sheetData>
  <mergeCells count="3">
    <mergeCell ref="A1:I1"/>
    <mergeCell ref="A4:A27"/>
    <mergeCell ref="A28:A50"/>
  </mergeCells>
  <conditionalFormatting sqref="G3:G50">
    <cfRule type="colorScale" priority="4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D51">
    <cfRule type="colorScale" priority="6">
      <colorScale>
        <cfvo type="percent" val="40"/>
        <cfvo type="percent" val="50"/>
        <cfvo type="percent" val="100"/>
        <color theme="9" tint="0.39997558519241921"/>
        <color rgb="FFFCBD3E"/>
        <color rgb="FFFF5A3F"/>
      </colorScale>
    </cfRule>
  </conditionalFormatting>
  <conditionalFormatting sqref="D3:D50">
    <cfRule type="colorScale" priority="5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M3">
    <cfRule type="duplicateValues" dxfId="7" priority="2"/>
  </conditionalFormatting>
  <conditionalFormatting sqref="M3">
    <cfRule type="duplicateValues" dxfId="6" priority="3"/>
  </conditionalFormatting>
  <conditionalFormatting sqref="H16:H17">
    <cfRule type="duplicateValues" dxfId="5" priority="1"/>
  </conditionalFormatting>
  <conditionalFormatting sqref="L3:L8">
    <cfRule type="duplicateValues" dxfId="4" priority="7"/>
  </conditionalFormatting>
  <conditionalFormatting sqref="B4:B27">
    <cfRule type="cellIs" dxfId="3" priority="106" operator="equal">
      <formula>"free"</formula>
    </cfRule>
    <cfRule type="duplicateValues" dxfId="2" priority="107"/>
  </conditionalFormatting>
  <conditionalFormatting sqref="B28:B50">
    <cfRule type="cellIs" dxfId="1" priority="118" operator="equal">
      <formula>"free"</formula>
    </cfRule>
    <cfRule type="duplicateValues" dxfId="0" priority="119"/>
  </conditionalFormatting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Stack Audit</vt:lpstr>
      <vt:lpstr>Stage Audit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Gardiner, Simon</dc:creator>
  <cp:lastModifiedBy>Gardiner, Simon</cp:lastModifiedBy>
  <dcterms:created xsi:type="dcterms:W3CDTF">2020-06-28T10:56:20Z</dcterms:created>
  <dcterms:modified xsi:type="dcterms:W3CDTF">2023-03-12T17:39:12Z</dcterms:modified>
</cp:coreProperties>
</file>