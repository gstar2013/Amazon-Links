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8_{CCDDB683-CB72-4126-9D37-62F0B07E803B}" xr6:coauthVersionLast="47" xr6:coauthVersionMax="47" xr10:uidLastSave="{00000000-0000-0000-0000-000000000000}"/>
  <bookViews>
    <workbookView xWindow="4830" yWindow="3885" windowWidth="21600" windowHeight="11265" xr2:uid="{4281B26E-445C-42AC-A7FA-8878D7CB1CB6}"/>
  </bookViews>
  <sheets>
    <sheet name="RM Container Count" sheetId="3" r:id="rId1"/>
    <sheet name="Site Look Up" sheetId="4" state="hidden" r:id="rId2"/>
    <sheet name="Container Ke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3" l="1"/>
  <c r="C16" i="3" l="1"/>
  <c r="C19" i="3"/>
  <c r="C18" i="3"/>
  <c r="C17" i="3"/>
  <c r="C3" i="3"/>
  <c r="C2" i="3"/>
</calcChain>
</file>

<file path=xl/sharedStrings.xml><?xml version="1.0" encoding="utf-8"?>
<sst xmlns="http://schemas.openxmlformats.org/spreadsheetml/2006/main" count="58" uniqueCount="42">
  <si>
    <t>AMZ Name</t>
  </si>
  <si>
    <t>RM Container Count</t>
  </si>
  <si>
    <t>Container Type</t>
  </si>
  <si>
    <t>YORK</t>
  </si>
  <si>
    <t>Built</t>
  </si>
  <si>
    <t>Nested - EMPTY</t>
  </si>
  <si>
    <t>Pallet</t>
  </si>
  <si>
    <t>Totals</t>
  </si>
  <si>
    <t>container.reporting@royalmail.com</t>
  </si>
  <si>
    <t>ALPS (Condensed)</t>
  </si>
  <si>
    <t>C'board Side</t>
  </si>
  <si>
    <t xml:space="preserve">C'board Base </t>
  </si>
  <si>
    <t>C'board Base Supports</t>
  </si>
  <si>
    <t>ALPS (Single - Built Up)</t>
  </si>
  <si>
    <t xml:space="preserve">Please complete daily and send before 08:30 </t>
  </si>
  <si>
    <t>LCY2</t>
  </si>
  <si>
    <t>LCY3</t>
  </si>
  <si>
    <t>BRS1</t>
  </si>
  <si>
    <t>Select Site Name Here</t>
  </si>
  <si>
    <t>BHX1</t>
  </si>
  <si>
    <t>BHX3</t>
  </si>
  <si>
    <t>BHX5</t>
  </si>
  <si>
    <t>BRS2</t>
  </si>
  <si>
    <t>CWL1</t>
  </si>
  <si>
    <t>EDI4</t>
  </si>
  <si>
    <t>EMA1</t>
  </si>
  <si>
    <t>EMA2</t>
  </si>
  <si>
    <t>EUK5</t>
  </si>
  <si>
    <t>GLA1</t>
  </si>
  <si>
    <t>LTN1</t>
  </si>
  <si>
    <t>LTN2</t>
  </si>
  <si>
    <t>LTN4</t>
  </si>
  <si>
    <t>MAN1</t>
  </si>
  <si>
    <t>MAN2</t>
  </si>
  <si>
    <t>MAN3</t>
  </si>
  <si>
    <t>MAN8</t>
  </si>
  <si>
    <t>MME1</t>
  </si>
  <si>
    <t>MME2</t>
  </si>
  <si>
    <t>NCL1</t>
  </si>
  <si>
    <t>SBS2</t>
  </si>
  <si>
    <t>VEEO</t>
  </si>
  <si>
    <t>Please Select Site Name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</si>
</sst>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color theme="0"/>
      <name val="Calibri"/>
      <family val="2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4" borderId="1" xfId="0" applyFont="1" applyFill="1" applyBorder="1" applyAlignment="1" applyProtection="1">
      <alignment horizontal="left" indent="1"/>
    </xf>
    <xf numFmtId="0" fontId="0" fillId="2" borderId="1" xfId="0" applyFont="1" applyFill="1" applyBorder="1" applyAlignment="1" applyProtection="1">
      <alignment horizontal="left" indent="1"/>
    </xf>
    <xf numFmtId="0" fontId="0" fillId="3" borderId="1" xfId="0" applyFont="1" applyFill="1" applyBorder="1" applyAlignment="1" applyProtection="1">
      <alignment horizontal="left" indent="1"/>
    </xf>
    <xf numFmtId="0" fontId="0" fillId="5" borderId="1" xfId="0" applyFont="1" applyFill="1" applyBorder="1" applyAlignment="1" applyProtection="1">
      <alignment horizontal="left" indent="1"/>
    </xf>
    <xf numFmtId="0" fontId="0" fillId="0" borderId="0" xfId="0" applyFont="1" applyProtection="1"/>
    <xf numFmtId="0" fontId="0" fillId="0" borderId="2" xfId="0" applyFont="1" applyBorder="1" applyAlignment="1" applyProtection="1">
      <alignment horizontal="left" indent="1"/>
    </xf>
    <xf numFmtId="0" fontId="4" fillId="9" borderId="3" xfId="0" applyFont="1" applyFill="1" applyBorder="1" applyAlignment="1" applyProtection="1">
      <alignment horizontal="center"/>
    </xf>
    <xf numFmtId="0" fontId="0" fillId="9" borderId="5" xfId="0" applyFill="1" applyBorder="1" applyProtection="1"/>
    <xf numFmtId="0" fontId="0" fillId="0" borderId="0" xfId="0" applyProtection="1"/>
    <xf numFmtId="14" fontId="0" fillId="6" borderId="4" xfId="0" applyNumberFormat="1" applyFill="1" applyBorder="1" applyAlignment="1" applyProtection="1">
      <alignment horizontal="center"/>
    </xf>
    <xf numFmtId="164" fontId="0" fillId="6" borderId="4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6" fillId="0" borderId="6" xfId="0" applyFont="1" applyBorder="1" applyProtection="1"/>
    <xf numFmtId="0" fontId="7" fillId="0" borderId="1" xfId="0" applyFont="1" applyBorder="1" applyProtection="1"/>
    <xf numFmtId="0" fontId="6" fillId="0" borderId="2" xfId="0" applyFont="1" applyBorder="1" applyProtection="1"/>
    <xf numFmtId="0" fontId="0" fillId="7" borderId="1" xfId="0" applyFill="1" applyBorder="1" applyProtection="1"/>
    <xf numFmtId="0" fontId="0" fillId="0" borderId="1" xfId="0" applyBorder="1" applyProtection="1">
      <protection locked="0"/>
    </xf>
    <xf numFmtId="0" fontId="3" fillId="6" borderId="1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2" fillId="0" borderId="0" xfId="1" applyAlignment="1" applyProtection="1">
      <alignment horizontal="center"/>
    </xf>
    <xf numFmtId="0" fontId="8" fillId="8" borderId="7" xfId="0" applyFont="1" applyFill="1" applyBorder="1" applyAlignment="1" applyProtection="1">
      <alignment horizontal="center"/>
      <protection locked="0"/>
    </xf>
    <xf numFmtId="0" fontId="8" fillId="8" borderId="8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14</xdr:col>
      <xdr:colOff>495300</xdr:colOff>
      <xdr:row>42</xdr:row>
      <xdr:rowOff>9524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E5C5A1-6172-46F7-B3DC-DA27A1148186}"/>
            </a:ext>
          </a:extLst>
        </xdr:cNvPr>
        <xdr:cNvGrpSpPr/>
      </xdr:nvGrpSpPr>
      <xdr:grpSpPr>
        <a:xfrm>
          <a:off x="609600" y="0"/>
          <a:ext cx="8420100" cy="8010524"/>
          <a:chOff x="1547664" y="116632"/>
          <a:chExt cx="6237135" cy="651012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65CD599-7146-452A-96E5-B4D1C968D1D3}"/>
              </a:ext>
            </a:extLst>
          </xdr:cNvPr>
          <xdr:cNvSpPr/>
        </xdr:nvSpPr>
        <xdr:spPr>
          <a:xfrm>
            <a:off x="2192683" y="2809134"/>
            <a:ext cx="1474232" cy="1680870"/>
          </a:xfrm>
          <a:prstGeom prst="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4" name="TextBox 14">
            <a:extLst>
              <a:ext uri="{FF2B5EF4-FFF2-40B4-BE49-F238E27FC236}">
                <a16:creationId xmlns:a16="http://schemas.microsoft.com/office/drawing/2014/main" id="{F76679AA-5B37-4670-B6CB-9350D3D1BC35}"/>
              </a:ext>
            </a:extLst>
          </xdr:cNvPr>
          <xdr:cNvSpPr txBox="1"/>
        </xdr:nvSpPr>
        <xdr:spPr>
          <a:xfrm>
            <a:off x="2192683" y="2372423"/>
            <a:ext cx="1474232" cy="46166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200" u="sng">
                <a:solidFill>
                  <a:srgbClr val="FF0000"/>
                </a:solidFill>
                <a:latin typeface="ChevinBold" panose="02000700000000000000" pitchFamily="2" charset="0"/>
              </a:rPr>
              <a:t>York – Cardboard Sides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9423994F-3DDD-48E5-81E3-8F288DF89529}"/>
              </a:ext>
            </a:extLst>
          </xdr:cNvPr>
          <xdr:cNvSpPr/>
        </xdr:nvSpPr>
        <xdr:spPr>
          <a:xfrm>
            <a:off x="3786920" y="2809134"/>
            <a:ext cx="1474232" cy="1680870"/>
          </a:xfrm>
          <a:prstGeom prst="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EDBA2947-5E5B-4A07-94B5-60AD0EE8B68E}"/>
              </a:ext>
            </a:extLst>
          </xdr:cNvPr>
          <xdr:cNvSpPr/>
        </xdr:nvSpPr>
        <xdr:spPr>
          <a:xfrm>
            <a:off x="5367952" y="2801938"/>
            <a:ext cx="1474232" cy="1680870"/>
          </a:xfrm>
          <a:prstGeom prst="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6B8989B7-DE55-4F73-B695-306DB16D8B4A}"/>
              </a:ext>
            </a:extLst>
          </xdr:cNvPr>
          <xdr:cNvSpPr/>
        </xdr:nvSpPr>
        <xdr:spPr>
          <a:xfrm>
            <a:off x="2173458" y="4941168"/>
            <a:ext cx="1474232" cy="1680870"/>
          </a:xfrm>
          <a:prstGeom prst="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2F674718-9F2E-49EB-BD8C-6A4B3A598547}"/>
              </a:ext>
            </a:extLst>
          </xdr:cNvPr>
          <xdr:cNvSpPr/>
        </xdr:nvSpPr>
        <xdr:spPr>
          <a:xfrm>
            <a:off x="3797363" y="4945888"/>
            <a:ext cx="1474232" cy="1680870"/>
          </a:xfrm>
          <a:prstGeom prst="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9" name="TextBox 27">
            <a:extLst>
              <a:ext uri="{FF2B5EF4-FFF2-40B4-BE49-F238E27FC236}">
                <a16:creationId xmlns:a16="http://schemas.microsoft.com/office/drawing/2014/main" id="{80836C30-3318-4049-A0EC-8886A99B1756}"/>
              </a:ext>
            </a:extLst>
          </xdr:cNvPr>
          <xdr:cNvSpPr txBox="1"/>
        </xdr:nvSpPr>
        <xdr:spPr>
          <a:xfrm>
            <a:off x="3786920" y="2348880"/>
            <a:ext cx="1474232" cy="46166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200" u="sng">
                <a:solidFill>
                  <a:srgbClr val="FF0000"/>
                </a:solidFill>
                <a:latin typeface="ChevinBold" panose="02000700000000000000" pitchFamily="2" charset="0"/>
              </a:rPr>
              <a:t>York – Cardboard Bases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86D22C7B-9194-4719-8F1B-19EE4412EA9A}"/>
              </a:ext>
            </a:extLst>
          </xdr:cNvPr>
          <xdr:cNvSpPr/>
        </xdr:nvSpPr>
        <xdr:spPr>
          <a:xfrm>
            <a:off x="5367952" y="2348880"/>
            <a:ext cx="1474232" cy="46166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200" u="sng">
                <a:solidFill>
                  <a:srgbClr val="FF0000"/>
                </a:solidFill>
                <a:latin typeface="ChevinBold" panose="02000700000000000000" pitchFamily="2" charset="0"/>
              </a:rPr>
              <a:t>York – Cardboard Supports</a:t>
            </a:r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63D43D04-138B-4845-B069-2FF5592799B5}"/>
              </a:ext>
            </a:extLst>
          </xdr:cNvPr>
          <xdr:cNvSpPr/>
        </xdr:nvSpPr>
        <xdr:spPr>
          <a:xfrm>
            <a:off x="2123728" y="4461006"/>
            <a:ext cx="1474232" cy="46166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200" u="sng">
                <a:solidFill>
                  <a:srgbClr val="FF0000"/>
                </a:solidFill>
                <a:latin typeface="ChevinBold" panose="02000700000000000000" pitchFamily="2" charset="0"/>
              </a:rPr>
              <a:t>Pallet – Cardboard Sides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DD02BEB5-0CEB-4ADE-886E-DE00118B3D5C}"/>
              </a:ext>
            </a:extLst>
          </xdr:cNvPr>
          <xdr:cNvSpPr/>
        </xdr:nvSpPr>
        <xdr:spPr>
          <a:xfrm>
            <a:off x="3797955" y="4482809"/>
            <a:ext cx="1474232" cy="46166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200" u="sng">
                <a:solidFill>
                  <a:srgbClr val="FF0000"/>
                </a:solidFill>
                <a:latin typeface="ChevinBold" panose="02000700000000000000" pitchFamily="2" charset="0"/>
              </a:rPr>
              <a:t>Pallet – Cardboard Bases</a:t>
            </a:r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999C2B27-6522-4F85-91B1-5179B5F93C1D}"/>
              </a:ext>
            </a:extLst>
          </xdr:cNvPr>
          <xdr:cNvSpPr/>
        </xdr:nvSpPr>
        <xdr:spPr>
          <a:xfrm>
            <a:off x="5372758" y="4945888"/>
            <a:ext cx="1474232" cy="1680870"/>
          </a:xfrm>
          <a:prstGeom prst="rect">
            <a:avLst/>
          </a:prstGeom>
          <a:solidFill>
            <a:schemeClr val="accent2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GB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E377919F-A306-4FA9-ACEC-236DB7D2EABF}"/>
              </a:ext>
            </a:extLst>
          </xdr:cNvPr>
          <xdr:cNvSpPr/>
        </xdr:nvSpPr>
        <xdr:spPr>
          <a:xfrm>
            <a:off x="5373350" y="4479503"/>
            <a:ext cx="1474232" cy="461665"/>
          </a:xfrm>
          <a:prstGeom prst="rect">
            <a:avLst/>
          </a:prstGeom>
        </xdr:spPr>
        <xdr:txBody>
          <a:bodyPr wrap="square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GB" sz="1200" u="sng">
                <a:solidFill>
                  <a:srgbClr val="FF0000"/>
                </a:solidFill>
                <a:latin typeface="ChevinBold" panose="02000700000000000000" pitchFamily="2" charset="0"/>
              </a:rPr>
              <a:t>Pallet – Cardboard Supports</a:t>
            </a:r>
          </a:p>
        </xdr:txBody>
      </xdr:sp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D181D6A8-75DF-4DE8-9447-EBF035E537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5323507" y="5343658"/>
            <a:ext cx="1573917" cy="885329"/>
          </a:xfrm>
          <a:prstGeom prst="rect">
            <a:avLst/>
          </a:prstGeom>
        </xdr:spPr>
      </xdr:pic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BAFF5EAC-A8CF-43BA-AC6B-CF962BCD8F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3755994" y="5280801"/>
            <a:ext cx="1558153" cy="1026808"/>
          </a:xfrm>
          <a:prstGeom prst="rect">
            <a:avLst/>
          </a:prstGeom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FC25329B-9530-4C9D-8C60-3F69E8BB1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2136053" y="3230123"/>
            <a:ext cx="1587491" cy="892964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B4354063-CD78-4E3C-A2FA-E98DD62BB0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3722469" y="3198412"/>
            <a:ext cx="1579317" cy="888366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2589A3B6-B1D4-4771-A3D5-A15F7833E2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5327809" y="3233099"/>
            <a:ext cx="1521161" cy="855653"/>
          </a:xfrm>
          <a:prstGeom prst="rect">
            <a:avLst/>
          </a:prstGeom>
        </xdr:spPr>
      </xdr:pic>
      <xdr:pic>
        <xdr:nvPicPr>
          <xdr:cNvPr id="20" name="Picture 19">
            <a:extLst>
              <a:ext uri="{FF2B5EF4-FFF2-40B4-BE49-F238E27FC236}">
                <a16:creationId xmlns:a16="http://schemas.microsoft.com/office/drawing/2014/main" id="{4A18C0F3-6C9E-4603-A55B-48102E16DD7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2463" t="-2129" r="24618" b="2129"/>
          <a:stretch/>
        </xdr:blipFill>
        <xdr:spPr>
          <a:xfrm rot="5400000">
            <a:off x="2335673" y="5150077"/>
            <a:ext cx="1188251" cy="1263051"/>
          </a:xfrm>
          <a:prstGeom prst="rect">
            <a:avLst/>
          </a:prstGeom>
        </xdr:spPr>
      </xdr:pic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A894FF0D-B4DD-456C-B484-036A36911CAB}"/>
              </a:ext>
            </a:extLst>
          </xdr:cNvPr>
          <xdr:cNvGrpSpPr/>
        </xdr:nvGrpSpPr>
        <xdr:grpSpPr>
          <a:xfrm>
            <a:off x="1547664" y="116632"/>
            <a:ext cx="6237135" cy="2167220"/>
            <a:chOff x="467544" y="44624"/>
            <a:chExt cx="6237135" cy="2167220"/>
          </a:xfrm>
        </xdr:grpSpPr>
        <xdr:sp macro="" textlink="">
          <xdr:nvSpPr>
            <xdr:cNvPr id="24" name="Rectangle 23">
              <a:extLst>
                <a:ext uri="{FF2B5EF4-FFF2-40B4-BE49-F238E27FC236}">
                  <a16:creationId xmlns:a16="http://schemas.microsoft.com/office/drawing/2014/main" id="{A53D33B0-5FF2-4E8B-9BA5-5970BD707E80}"/>
                </a:ext>
              </a:extLst>
            </xdr:cNvPr>
            <xdr:cNvSpPr/>
          </xdr:nvSpPr>
          <xdr:spPr>
            <a:xfrm>
              <a:off x="467544" y="530974"/>
              <a:ext cx="1474232" cy="1680870"/>
            </a:xfrm>
            <a:prstGeom prst="rect">
              <a:avLst/>
            </a:prstGeom>
            <a:solidFill>
              <a:schemeClr val="accent2"/>
            </a:solidFill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sp macro="" textlink="">
          <xdr:nvSpPr>
            <xdr:cNvPr id="25" name="TextBox 4">
              <a:extLst>
                <a:ext uri="{FF2B5EF4-FFF2-40B4-BE49-F238E27FC236}">
                  <a16:creationId xmlns:a16="http://schemas.microsoft.com/office/drawing/2014/main" id="{A854A917-58DD-4CA4-9554-C91F277057C6}"/>
                </a:ext>
              </a:extLst>
            </xdr:cNvPr>
            <xdr:cNvSpPr txBox="1"/>
          </xdr:nvSpPr>
          <xdr:spPr>
            <a:xfrm>
              <a:off x="467544" y="116632"/>
              <a:ext cx="1474232" cy="27699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200" u="sng">
                  <a:solidFill>
                    <a:srgbClr val="FF0000"/>
                  </a:solidFill>
                  <a:latin typeface="ChevinBold" panose="02000700000000000000" pitchFamily="2" charset="0"/>
                </a:rPr>
                <a:t>York - Built</a:t>
              </a:r>
            </a:p>
          </xdr:txBody>
        </xdr:sp>
        <xdr:sp macro="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1D9770DE-88BD-499A-BFBF-19EBACBA205A}"/>
                </a:ext>
              </a:extLst>
            </xdr:cNvPr>
            <xdr:cNvSpPr/>
          </xdr:nvSpPr>
          <xdr:spPr>
            <a:xfrm>
              <a:off x="2061780" y="530974"/>
              <a:ext cx="1474232" cy="1680870"/>
            </a:xfrm>
            <a:prstGeom prst="rect">
              <a:avLst/>
            </a:prstGeom>
            <a:solidFill>
              <a:schemeClr val="accent2"/>
            </a:solidFill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sp macro="" textlink="">
          <xdr:nvSpPr>
            <xdr:cNvPr id="27" name="TextBox 6">
              <a:extLst>
                <a:ext uri="{FF2B5EF4-FFF2-40B4-BE49-F238E27FC236}">
                  <a16:creationId xmlns:a16="http://schemas.microsoft.com/office/drawing/2014/main" id="{4119BC3C-76EB-4257-87B6-B828E790E061}"/>
                </a:ext>
              </a:extLst>
            </xdr:cNvPr>
            <xdr:cNvSpPr txBox="1"/>
          </xdr:nvSpPr>
          <xdr:spPr>
            <a:xfrm>
              <a:off x="2061780" y="116632"/>
              <a:ext cx="1474232" cy="27699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200" u="sng">
                  <a:solidFill>
                    <a:srgbClr val="FF0000"/>
                  </a:solidFill>
                  <a:latin typeface="ChevinBold" panose="02000700000000000000" pitchFamily="2" charset="0"/>
                </a:rPr>
                <a:t>York - Nested</a:t>
              </a:r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7255E2A9-E6E2-4458-AC35-858DE1B584EE}"/>
                </a:ext>
              </a:extLst>
            </xdr:cNvPr>
            <xdr:cNvSpPr/>
          </xdr:nvSpPr>
          <xdr:spPr>
            <a:xfrm>
              <a:off x="3642813" y="523779"/>
              <a:ext cx="1474232" cy="1680870"/>
            </a:xfrm>
            <a:prstGeom prst="rect">
              <a:avLst/>
            </a:prstGeom>
            <a:solidFill>
              <a:schemeClr val="accent2"/>
            </a:solidFill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sp macro="" textlink="">
          <xdr:nvSpPr>
            <xdr:cNvPr id="29" name="TextBox 8">
              <a:extLst>
                <a:ext uri="{FF2B5EF4-FFF2-40B4-BE49-F238E27FC236}">
                  <a16:creationId xmlns:a16="http://schemas.microsoft.com/office/drawing/2014/main" id="{50729AA2-0695-408C-9C55-6180015E443B}"/>
                </a:ext>
              </a:extLst>
            </xdr:cNvPr>
            <xdr:cNvSpPr txBox="1"/>
          </xdr:nvSpPr>
          <xdr:spPr>
            <a:xfrm>
              <a:off x="3642813" y="116632"/>
              <a:ext cx="1474232" cy="276999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200" u="sng">
                  <a:solidFill>
                    <a:srgbClr val="FF0000"/>
                  </a:solidFill>
                  <a:latin typeface="ChevinBold" panose="02000700000000000000" pitchFamily="2" charset="0"/>
                </a:rPr>
                <a:t>Red Sleeve- Built</a:t>
              </a:r>
            </a:p>
          </xdr:txBody>
        </xdr:sp>
        <xdr:sp macro="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E1FF3533-A901-4F9C-A993-852061624C77}"/>
                </a:ext>
              </a:extLst>
            </xdr:cNvPr>
            <xdr:cNvSpPr/>
          </xdr:nvSpPr>
          <xdr:spPr>
            <a:xfrm>
              <a:off x="5230447" y="530974"/>
              <a:ext cx="1474232" cy="1680870"/>
            </a:xfrm>
            <a:prstGeom prst="rect">
              <a:avLst/>
            </a:prstGeom>
            <a:solidFill>
              <a:schemeClr val="accent2"/>
            </a:solidFill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GB"/>
            </a:p>
          </xdr:txBody>
        </xdr:sp>
        <xdr:sp macro="" textlink="">
          <xdr:nvSpPr>
            <xdr:cNvPr id="31" name="TextBox 10">
              <a:extLst>
                <a:ext uri="{FF2B5EF4-FFF2-40B4-BE49-F238E27FC236}">
                  <a16:creationId xmlns:a16="http://schemas.microsoft.com/office/drawing/2014/main" id="{D936E7E1-A7BE-413E-B6BA-E7382A285E81}"/>
                </a:ext>
              </a:extLst>
            </xdr:cNvPr>
            <xdr:cNvSpPr txBox="1"/>
          </xdr:nvSpPr>
          <xdr:spPr>
            <a:xfrm>
              <a:off x="5230447" y="44624"/>
              <a:ext cx="1474232" cy="461665"/>
            </a:xfrm>
            <a:prstGeom prst="rect">
              <a:avLst/>
            </a:prstGeom>
            <a:noFill/>
          </xdr:spPr>
          <xdr:txBody>
            <a:bodyPr wrap="square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n-GB" sz="1200" u="sng">
                  <a:solidFill>
                    <a:srgbClr val="FF0000"/>
                  </a:solidFill>
                  <a:latin typeface="ChevinBold" panose="02000700000000000000" pitchFamily="2" charset="0"/>
                </a:rPr>
                <a:t>Red Sleeve -Condensed</a:t>
              </a:r>
            </a:p>
          </xdr:txBody>
        </xdr:sp>
        <xdr:pic>
          <xdr:nvPicPr>
            <xdr:cNvPr id="32" name="Picture 31">
              <a:extLst>
                <a:ext uri="{FF2B5EF4-FFF2-40B4-BE49-F238E27FC236}">
                  <a16:creationId xmlns:a16="http://schemas.microsoft.com/office/drawing/2014/main" id="{E94C3997-4843-4E87-8EB8-FDAA2FC809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5400000">
              <a:off x="3611609" y="812789"/>
              <a:ext cx="1536802" cy="1152601"/>
            </a:xfrm>
            <a:prstGeom prst="rect">
              <a:avLst/>
            </a:prstGeom>
          </xdr:spPr>
        </xdr:pic>
        <xdr:pic>
          <xdr:nvPicPr>
            <xdr:cNvPr id="33" name="Picture 32">
              <a:extLst>
                <a:ext uri="{FF2B5EF4-FFF2-40B4-BE49-F238E27FC236}">
                  <a16:creationId xmlns:a16="http://schemas.microsoft.com/office/drawing/2014/main" id="{B430C54F-5F9E-4C4C-ABCE-AB0D21F279B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5400000">
              <a:off x="5160191" y="757518"/>
              <a:ext cx="1662087" cy="1246565"/>
            </a:xfrm>
            <a:prstGeom prst="rect">
              <a:avLst/>
            </a:prstGeom>
          </xdr:spPr>
        </xdr:pic>
      </xdr:grpSp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5241208B-90CA-4E20-98BC-9AB88F830C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3066885" y="814071"/>
            <a:ext cx="1671772" cy="1253829"/>
          </a:xfrm>
          <a:prstGeom prst="rect">
            <a:avLst/>
          </a:prstGeom>
        </xdr:spPr>
      </xdr:pic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E9C9C639-CC95-43F6-9D35-690B455EE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1522499" y="826261"/>
            <a:ext cx="1578576" cy="1183932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ontainer.reporting@royal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91B65-44D6-4FD2-A477-A7E4BAD8B136}">
  <dimension ref="A1:D22"/>
  <sheetViews>
    <sheetView tabSelected="1" workbookViewId="0"/>
  </sheetViews>
  <sheetFormatPr defaultColWidth="8.7109375" defaultRowHeight="15" x14ac:dyDescent="0.25"/>
  <cols>
    <col min="1" max="1" width="16.28515625" style="9" customWidth="1"/>
    <col min="2" max="2" width="36" style="9" customWidth="1"/>
    <col min="3" max="3" width="12.28515625" style="9" customWidth="1"/>
    <col min="4" max="4" width="12.140625" style="9" customWidth="1"/>
    <col min="5" max="16384" width="8.7109375" style="9"/>
  </cols>
  <sheetData>
    <row r="1" spans="1:4" ht="23.25" thickBot="1" x14ac:dyDescent="0.4">
      <c r="A1" s="7" t="s">
        <v>0</v>
      </c>
      <c r="B1" s="7" t="s">
        <v>1</v>
      </c>
      <c r="C1" s="8"/>
    </row>
    <row r="2" spans="1:4" ht="15.75" x14ac:dyDescent="0.25">
      <c r="A2" s="21" t="s">
        <v>17</v>
      </c>
      <c r="B2" s="22"/>
      <c r="C2" s="10">
        <f ca="1">TODAY()</f>
        <v>45209</v>
      </c>
    </row>
    <row r="3" spans="1:4" ht="15.75" x14ac:dyDescent="0.25">
      <c r="A3" s="18" t="s">
        <v>2</v>
      </c>
      <c r="B3" s="18"/>
      <c r="C3" s="11">
        <f ca="1">TODAY()</f>
        <v>45209</v>
      </c>
    </row>
    <row r="4" spans="1:4" x14ac:dyDescent="0.25">
      <c r="A4" s="1" t="s">
        <v>3</v>
      </c>
      <c r="B4" s="1" t="s">
        <v>4</v>
      </c>
      <c r="C4" s="17"/>
      <c r="D4" s="13"/>
    </row>
    <row r="5" spans="1:4" x14ac:dyDescent="0.25">
      <c r="A5" s="1" t="s">
        <v>3</v>
      </c>
      <c r="B5" s="1" t="s">
        <v>5</v>
      </c>
      <c r="C5" s="17"/>
      <c r="D5" s="13"/>
    </row>
    <row r="6" spans="1:4" x14ac:dyDescent="0.25">
      <c r="A6" s="1" t="s">
        <v>3</v>
      </c>
      <c r="B6" s="2" t="s">
        <v>10</v>
      </c>
      <c r="C6" s="17"/>
      <c r="D6" s="13"/>
    </row>
    <row r="7" spans="1:4" x14ac:dyDescent="0.25">
      <c r="A7" s="1" t="s">
        <v>3</v>
      </c>
      <c r="B7" s="2" t="s">
        <v>11</v>
      </c>
      <c r="C7" s="17"/>
      <c r="D7" s="13"/>
    </row>
    <row r="8" spans="1:4" x14ac:dyDescent="0.25">
      <c r="A8" s="1" t="s">
        <v>3</v>
      </c>
      <c r="B8" s="2" t="s">
        <v>12</v>
      </c>
      <c r="C8" s="17"/>
      <c r="D8" s="13"/>
    </row>
    <row r="9" spans="1:4" x14ac:dyDescent="0.25">
      <c r="A9" s="1" t="s">
        <v>3</v>
      </c>
      <c r="B9" s="3" t="s">
        <v>13</v>
      </c>
      <c r="C9" s="17"/>
      <c r="D9" s="13"/>
    </row>
    <row r="10" spans="1:4" x14ac:dyDescent="0.25">
      <c r="A10" s="1" t="s">
        <v>3</v>
      </c>
      <c r="B10" s="3" t="s">
        <v>9</v>
      </c>
      <c r="C10" s="17"/>
      <c r="D10" s="13"/>
    </row>
    <row r="11" spans="1:4" x14ac:dyDescent="0.25">
      <c r="A11" s="4" t="s">
        <v>6</v>
      </c>
      <c r="B11" s="2" t="s">
        <v>10</v>
      </c>
      <c r="C11" s="17"/>
      <c r="D11" s="13"/>
    </row>
    <row r="12" spans="1:4" x14ac:dyDescent="0.25">
      <c r="A12" s="4" t="s">
        <v>6</v>
      </c>
      <c r="B12" s="2" t="s">
        <v>11</v>
      </c>
      <c r="C12" s="17"/>
      <c r="D12" s="13"/>
    </row>
    <row r="13" spans="1:4" x14ac:dyDescent="0.25">
      <c r="A13" s="4" t="s">
        <v>6</v>
      </c>
      <c r="B13" s="2" t="s">
        <v>12</v>
      </c>
      <c r="C13" s="17"/>
      <c r="D13" s="13"/>
    </row>
    <row r="14" spans="1:4" ht="21" x14ac:dyDescent="0.35">
      <c r="A14" s="14" t="str">
        <f>IF(A2='Site Look Up'!A1,'Site Look Up'!B1,"")</f>
        <v/>
      </c>
      <c r="B14" s="5"/>
    </row>
    <row r="15" spans="1:4" x14ac:dyDescent="0.25">
      <c r="A15" s="15"/>
      <c r="B15" s="6" t="s">
        <v>7</v>
      </c>
      <c r="C15" s="12"/>
    </row>
    <row r="16" spans="1:4" x14ac:dyDescent="0.25">
      <c r="A16" s="5"/>
      <c r="B16" s="1" t="s">
        <v>3</v>
      </c>
      <c r="C16" s="16">
        <f>C4+C5+C9+C10</f>
        <v>0</v>
      </c>
    </row>
    <row r="17" spans="1:3" x14ac:dyDescent="0.25">
      <c r="A17" s="5"/>
      <c r="B17" s="2" t="s">
        <v>10</v>
      </c>
      <c r="C17" s="16">
        <f>SUM(C6*45)+(C11*400)</f>
        <v>0</v>
      </c>
    </row>
    <row r="18" spans="1:3" x14ac:dyDescent="0.25">
      <c r="A18" s="5"/>
      <c r="B18" s="2" t="s">
        <v>11</v>
      </c>
      <c r="C18" s="16">
        <f>SUM(C7*90)+(C12*500)</f>
        <v>0</v>
      </c>
    </row>
    <row r="19" spans="1:3" x14ac:dyDescent="0.25">
      <c r="A19" s="5"/>
      <c r="B19" s="2" t="s">
        <v>12</v>
      </c>
      <c r="C19" s="16">
        <f>SUM(C8*90)+(C13*400)</f>
        <v>0</v>
      </c>
    </row>
    <row r="21" spans="1:3" x14ac:dyDescent="0.25">
      <c r="A21" s="19" t="s">
        <v>14</v>
      </c>
      <c r="B21" s="19"/>
    </row>
    <row r="22" spans="1:3" x14ac:dyDescent="0.25">
      <c r="A22" s="20" t="s">
        <v>8</v>
      </c>
      <c r="B22" s="20"/>
    </row>
  </sheetData>
  <sheetProtection sheet="1" objects="1" scenarios="1"/>
  <mergeCells count="4">
    <mergeCell ref="A3:B3"/>
    <mergeCell ref="A21:B21"/>
    <mergeCell ref="A22:B22"/>
    <mergeCell ref="A2:B2"/>
  </mergeCells>
  <phoneticPr fontId="5" type="noConversion"/>
  <hyperlinks>
    <hyperlink ref="A22" r:id="rId1" xr:uid="{D0D3512F-18F1-473A-BAA9-5AE8BA127BCC}"/>
  </hyperlinks>
  <pageMargins left="0.7" right="0.7" top="0.75" bottom="0.75" header="0.3" footer="0.3"/>
  <pageSetup paperSize="9" orientation="portrait" r:id="rId2"/>
  <headerFooter>
    <oddFooter>&amp;L&amp;1#&amp;"Calibri"&amp;10&amp;K000000Classified: RMG – Internal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619529-5358-44F6-8C21-0CD82FB3FC0D}">
          <x14:formula1>
            <xm:f>'Site Look Up'!$A$1:$A$35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DEA36-2A64-4334-9531-A78C5C30FE84}">
  <dimension ref="A1:B26"/>
  <sheetViews>
    <sheetView workbookViewId="0">
      <selection activeCell="B1" sqref="B1"/>
    </sheetView>
  </sheetViews>
  <sheetFormatPr defaultRowHeight="15" x14ac:dyDescent="0.25"/>
  <cols>
    <col min="1" max="1" width="20.140625" customWidth="1"/>
  </cols>
  <sheetData>
    <row r="1" spans="1:2" x14ac:dyDescent="0.25">
      <c r="A1" t="s">
        <v>18</v>
      </c>
      <c r="B1" t="s">
        <v>41</v>
      </c>
    </row>
    <row r="2" spans="1:2" x14ac:dyDescent="0.25">
      <c r="A2" t="s">
        <v>19</v>
      </c>
    </row>
    <row r="3" spans="1:2" x14ac:dyDescent="0.25">
      <c r="A3" t="s">
        <v>20</v>
      </c>
    </row>
    <row r="4" spans="1:2" x14ac:dyDescent="0.25">
      <c r="A4" t="s">
        <v>21</v>
      </c>
    </row>
    <row r="5" spans="1:2" x14ac:dyDescent="0.25">
      <c r="A5" t="s">
        <v>17</v>
      </c>
    </row>
    <row r="6" spans="1:2" x14ac:dyDescent="0.25">
      <c r="A6" t="s">
        <v>22</v>
      </c>
    </row>
    <row r="7" spans="1:2" x14ac:dyDescent="0.25">
      <c r="A7" t="s">
        <v>23</v>
      </c>
    </row>
    <row r="8" spans="1:2" x14ac:dyDescent="0.25">
      <c r="A8" t="s">
        <v>24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27</v>
      </c>
    </row>
    <row r="12" spans="1:2" x14ac:dyDescent="0.25">
      <c r="A12" t="s">
        <v>28</v>
      </c>
    </row>
    <row r="13" spans="1:2" x14ac:dyDescent="0.25">
      <c r="A13" t="s">
        <v>15</v>
      </c>
    </row>
    <row r="14" spans="1:2" x14ac:dyDescent="0.25">
      <c r="A14" t="s">
        <v>16</v>
      </c>
    </row>
    <row r="15" spans="1:2" x14ac:dyDescent="0.25">
      <c r="A15" t="s">
        <v>29</v>
      </c>
    </row>
    <row r="16" spans="1:2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2" spans="1:1" x14ac:dyDescent="0.25">
      <c r="A22" t="s">
        <v>36</v>
      </c>
    </row>
    <row r="23" spans="1:1" x14ac:dyDescent="0.25">
      <c r="A23" t="s">
        <v>37</v>
      </c>
    </row>
    <row r="24" spans="1:1" x14ac:dyDescent="0.25">
      <c r="A24" t="s">
        <v>38</v>
      </c>
    </row>
    <row r="25" spans="1:1" x14ac:dyDescent="0.25">
      <c r="A25" t="s">
        <v>39</v>
      </c>
    </row>
    <row r="26" spans="1:1" x14ac:dyDescent="0.25">
      <c r="A26" t="s">
        <v>40</v>
      </c>
    </row>
  </sheetData>
  <pageMargins left="0.7" right="0.7" top="0.75" bottom="0.75" header="0.3" footer="0.3"/>
  <pageSetup paperSize="9" orientation="portrait" r:id="rId1"/>
  <headerFooter>
    <oddFooter>&amp;L&amp;1#&amp;"Calibri"&amp;10&amp;K000000Classified: RMG –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247B4-031C-4A2D-B414-9E70D4304329}">
  <sheetPr codeName="Sheet4">
    <tabColor rgb="FFFF0000"/>
  </sheetPr>
  <dimension ref="A1"/>
  <sheetViews>
    <sheetView showGridLines="0" showRowColHeaders="0" workbookViewId="0">
      <selection activeCell="A2" sqref="A2"/>
    </sheetView>
  </sheetViews>
  <sheetFormatPr defaultRowHeight="15" x14ac:dyDescent="0.25"/>
  <sheetData/>
  <sheetProtection password="CA17" sheet="1" objects="1" scenarios="1" selectLockedCells="1"/>
  <pageMargins left="0.7" right="0.7" top="0.75" bottom="0.75" header="0.3" footer="0.3"/>
  <pageSetup paperSize="9" orientation="portrait" r:id="rId1"/>
  <headerFooter>
    <oddFooter>&amp;L&amp;1#&amp;"Calibri"&amp;10&amp;K000000Classified: RMG – Internal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RM Container Count</vt:lpstr>
      <vt:lpstr>Site Look Up</vt:lpstr>
      <vt:lpstr>Container 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Ajay Ladva</dc:creator>
  <cp:lastModifiedBy>Gardiner, Simon</cp:lastModifiedBy>
  <dcterms:created xsi:type="dcterms:W3CDTF">2023-02-08T10:55:50Z</dcterms:created>
  <dcterms:modified xsi:type="dcterms:W3CDTF">2023-10-10T11:41:58Z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0f36f3-41a5-4f45-a6a2-e224f336accd_Enabled">
    <vt:lpwstr>true</vt:lpwstr>
  </property>
  <property fmtid="{D5CDD505-2E9C-101B-9397-08002B2CF9AE}" pid="3" name="MSIP_Label_980f36f3-41a5-4f45-a6a2-e224f336accd_SetDate">
    <vt:lpwstr>2023-02-10T11:49:32Z</vt:lpwstr>
  </property>
  <property fmtid="{D5CDD505-2E9C-101B-9397-08002B2CF9AE}" pid="4" name="MSIP_Label_980f36f3-41a5-4f45-a6a2-e224f336accd_Method">
    <vt:lpwstr>Standard</vt:lpwstr>
  </property>
  <property fmtid="{D5CDD505-2E9C-101B-9397-08002B2CF9AE}" pid="5" name="MSIP_Label_980f36f3-41a5-4f45-a6a2-e224f336accd_Name">
    <vt:lpwstr>980f36f3-41a5-4f45-a6a2-e224f336accd</vt:lpwstr>
  </property>
  <property fmtid="{D5CDD505-2E9C-101B-9397-08002B2CF9AE}" pid="6" name="MSIP_Label_980f36f3-41a5-4f45-a6a2-e224f336accd_SiteId">
    <vt:lpwstr>7a082108-90dd-41ac-be41-9b8feabee2da</vt:lpwstr>
  </property>
  <property fmtid="{D5CDD505-2E9C-101B-9397-08002B2CF9AE}" pid="7" name="MSIP_Label_980f36f3-41a5-4f45-a6a2-e224f336accd_ActionId">
    <vt:lpwstr>e3e2f28f-6b24-41c8-a48f-57581371ba02</vt:lpwstr>
  </property>
  <property fmtid="{D5CDD505-2E9C-101B-9397-08002B2CF9AE}" pid="8" name="MSIP_Label_980f36f3-41a5-4f45-a6a2-e224f336accd_ContentBits">
    <vt:lpwstr>2</vt:lpwstr>
  </property>
</Properties>
</file>